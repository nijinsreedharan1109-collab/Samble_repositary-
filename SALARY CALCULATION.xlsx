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10452"/>
  </bookViews>
  <sheets>
    <sheet name="PARTIME TIME" sheetId="22" r:id="rId1"/>
  </sheets>
  <calcPr calcId="162913"/>
</workbook>
</file>

<file path=xl/calcChain.xml><?xml version="1.0" encoding="utf-8"?>
<calcChain xmlns="http://schemas.openxmlformats.org/spreadsheetml/2006/main">
  <c r="CA36" i="22" l="1"/>
  <c r="CA39" i="22" s="1"/>
  <c r="BZ35" i="22"/>
  <c r="BY35" i="22"/>
  <c r="BZ34" i="22"/>
  <c r="BY34" i="22"/>
  <c r="BZ33" i="22"/>
  <c r="BY33" i="22"/>
  <c r="BZ32" i="22"/>
  <c r="BY32" i="22"/>
  <c r="BZ31" i="22"/>
  <c r="BY31" i="22"/>
  <c r="BZ30" i="22"/>
  <c r="BY30" i="22"/>
  <c r="BZ29" i="22"/>
  <c r="BY29" i="22"/>
  <c r="BZ28" i="22"/>
  <c r="BY28" i="22"/>
  <c r="BZ27" i="22"/>
  <c r="BY27" i="22"/>
  <c r="BZ26" i="22"/>
  <c r="BY26" i="22"/>
  <c r="BZ25" i="22"/>
  <c r="BY25" i="22"/>
  <c r="BZ24" i="22"/>
  <c r="BY24" i="22"/>
  <c r="BZ23" i="22"/>
  <c r="BY23" i="22"/>
  <c r="BY22" i="22"/>
  <c r="BZ22" i="22" s="1"/>
  <c r="BY21" i="22"/>
  <c r="BZ21" i="22" s="1"/>
  <c r="BY20" i="22"/>
  <c r="BZ20" i="22" s="1"/>
  <c r="BY19" i="22"/>
  <c r="BZ19" i="22" s="1"/>
  <c r="BY18" i="22"/>
  <c r="BZ18" i="22" s="1"/>
  <c r="BY17" i="22"/>
  <c r="BZ17" i="22" s="1"/>
  <c r="BY16" i="22"/>
  <c r="BZ16" i="22" s="1"/>
  <c r="BY15" i="22"/>
  <c r="BZ15" i="22" s="1"/>
  <c r="BY14" i="22"/>
  <c r="BZ14" i="22" s="1"/>
  <c r="BZ13" i="22"/>
  <c r="BY13" i="22"/>
  <c r="BZ12" i="22"/>
  <c r="BY12" i="22"/>
  <c r="BZ11" i="22"/>
  <c r="BY11" i="22"/>
  <c r="BY10" i="22"/>
  <c r="BZ10" i="22" s="1"/>
  <c r="BY9" i="22"/>
  <c r="BZ9" i="22" s="1"/>
  <c r="BY8" i="22"/>
  <c r="BZ8" i="22" s="1"/>
  <c r="BY7" i="22"/>
  <c r="BZ7" i="22" s="1"/>
  <c r="BY6" i="22"/>
  <c r="BZ6" i="22" s="1"/>
  <c r="BY5" i="22"/>
  <c r="BS36" i="22"/>
  <c r="AS35" i="22"/>
  <c r="AT35" i="22" s="1"/>
  <c r="AT34" i="22"/>
  <c r="AS34" i="22"/>
  <c r="AS33" i="22"/>
  <c r="AT33" i="22" s="1"/>
  <c r="AS32" i="22"/>
  <c r="AT32" i="22" s="1"/>
  <c r="AS31" i="22"/>
  <c r="AT31" i="22" s="1"/>
  <c r="AT30" i="22"/>
  <c r="AS30" i="22"/>
  <c r="AS29" i="22"/>
  <c r="AT29" i="22" s="1"/>
  <c r="AS28" i="22"/>
  <c r="AT28" i="22" s="1"/>
  <c r="AS27" i="22"/>
  <c r="AT27" i="22" s="1"/>
  <c r="AT26" i="22"/>
  <c r="AS26" i="22"/>
  <c r="AS25" i="22"/>
  <c r="AT25" i="22" s="1"/>
  <c r="AS24" i="22"/>
  <c r="AT24" i="22" s="1"/>
  <c r="AS23" i="22"/>
  <c r="AT23" i="22" s="1"/>
  <c r="AT22" i="22"/>
  <c r="AS22" i="22"/>
  <c r="AS21" i="22"/>
  <c r="AT21" i="22" s="1"/>
  <c r="AS20" i="22"/>
  <c r="AT20" i="22" s="1"/>
  <c r="AS19" i="22"/>
  <c r="AT19" i="22" s="1"/>
  <c r="AT18" i="22"/>
  <c r="AS18" i="22"/>
  <c r="AS17" i="22"/>
  <c r="AT17" i="22" s="1"/>
  <c r="AS16" i="22"/>
  <c r="AT16" i="22" s="1"/>
  <c r="AS15" i="22"/>
  <c r="AT15" i="22" s="1"/>
  <c r="AT14" i="22"/>
  <c r="AS14" i="22"/>
  <c r="AS13" i="22"/>
  <c r="AT13" i="22" s="1"/>
  <c r="AS12" i="22"/>
  <c r="AT12" i="22" s="1"/>
  <c r="AS11" i="22"/>
  <c r="AT11" i="22" s="1"/>
  <c r="AT10" i="22"/>
  <c r="AS10" i="22"/>
  <c r="AS9" i="22"/>
  <c r="AT9" i="22" s="1"/>
  <c r="AS8" i="22"/>
  <c r="AT8" i="22" s="1"/>
  <c r="AS7" i="22"/>
  <c r="AT7" i="22" s="1"/>
  <c r="AS6" i="22"/>
  <c r="AT6" i="22" s="1"/>
  <c r="AS5" i="22"/>
  <c r="AT5" i="22" s="1"/>
  <c r="AM36" i="22"/>
  <c r="AL35" i="22"/>
  <c r="AK35" i="22"/>
  <c r="AK34" i="22"/>
  <c r="AL34" i="22" s="1"/>
  <c r="AK33" i="22"/>
  <c r="AL33" i="22" s="1"/>
  <c r="AK32" i="22"/>
  <c r="AL32" i="22" s="1"/>
  <c r="AK31" i="22"/>
  <c r="AL31" i="22" s="1"/>
  <c r="AK30" i="22"/>
  <c r="AL30" i="22" s="1"/>
  <c r="AK29" i="22"/>
  <c r="AL29" i="22" s="1"/>
  <c r="AK28" i="22"/>
  <c r="AL28" i="22" s="1"/>
  <c r="AL27" i="22"/>
  <c r="AK27" i="22"/>
  <c r="AK26" i="22"/>
  <c r="AL26" i="22" s="1"/>
  <c r="AK25" i="22"/>
  <c r="AL25" i="22" s="1"/>
  <c r="AK24" i="22"/>
  <c r="AL24" i="22" s="1"/>
  <c r="AL23" i="22"/>
  <c r="AK23" i="22"/>
  <c r="AK22" i="22"/>
  <c r="AL22" i="22" s="1"/>
  <c r="AK21" i="22"/>
  <c r="AL21" i="22" s="1"/>
  <c r="AK20" i="22"/>
  <c r="AL20" i="22" s="1"/>
  <c r="AL19" i="22"/>
  <c r="AK19" i="22"/>
  <c r="AK18" i="22"/>
  <c r="AL18" i="22" s="1"/>
  <c r="AK17" i="22"/>
  <c r="AL17" i="22" s="1"/>
  <c r="AK16" i="22"/>
  <c r="AL16" i="22" s="1"/>
  <c r="AL15" i="22"/>
  <c r="AK15" i="22"/>
  <c r="AK14" i="22"/>
  <c r="AL14" i="22" s="1"/>
  <c r="AK13" i="22"/>
  <c r="AL13" i="22" s="1"/>
  <c r="AK12" i="22"/>
  <c r="AL12" i="22" s="1"/>
  <c r="AK11" i="22"/>
  <c r="AL11" i="22" s="1"/>
  <c r="AK10" i="22"/>
  <c r="AL10" i="22" s="1"/>
  <c r="AK9" i="22"/>
  <c r="AL9" i="22" s="1"/>
  <c r="AK8" i="22"/>
  <c r="AL8" i="22" s="1"/>
  <c r="AK7" i="22"/>
  <c r="AL7" i="22" s="1"/>
  <c r="AK6" i="22"/>
  <c r="AL6" i="22" s="1"/>
  <c r="AK5" i="22"/>
  <c r="AL5" i="22" s="1"/>
  <c r="BY36" i="22" l="1"/>
  <c r="BZ5" i="22"/>
  <c r="AK36" i="22"/>
  <c r="BS39" i="22"/>
  <c r="BQ35" i="22"/>
  <c r="BR35" i="22" s="1"/>
  <c r="BQ34" i="22"/>
  <c r="BR34" i="22" s="1"/>
  <c r="BQ33" i="22"/>
  <c r="BR33" i="22" s="1"/>
  <c r="BQ32" i="22"/>
  <c r="BR32" i="22" s="1"/>
  <c r="BQ31" i="22"/>
  <c r="BR31" i="22" s="1"/>
  <c r="BQ30" i="22"/>
  <c r="BR30" i="22" s="1"/>
  <c r="BQ29" i="22"/>
  <c r="BR29" i="22" s="1"/>
  <c r="BQ28" i="22"/>
  <c r="BR28" i="22" s="1"/>
  <c r="BQ27" i="22"/>
  <c r="BR27" i="22" s="1"/>
  <c r="BQ26" i="22"/>
  <c r="BR26" i="22" s="1"/>
  <c r="BQ25" i="22"/>
  <c r="BR25" i="22" s="1"/>
  <c r="BQ24" i="22"/>
  <c r="BR24" i="22" s="1"/>
  <c r="BQ23" i="22"/>
  <c r="BR23" i="22" s="1"/>
  <c r="BQ22" i="22"/>
  <c r="BR22" i="22" s="1"/>
  <c r="BQ21" i="22"/>
  <c r="BR21" i="22" s="1"/>
  <c r="BQ20" i="22"/>
  <c r="BR20" i="22" s="1"/>
  <c r="BQ19" i="22"/>
  <c r="BR19" i="22" s="1"/>
  <c r="BQ18" i="22"/>
  <c r="BR18" i="22" s="1"/>
  <c r="BQ17" i="22"/>
  <c r="BR17" i="22" s="1"/>
  <c r="BQ16" i="22"/>
  <c r="BR16" i="22" s="1"/>
  <c r="BQ15" i="22"/>
  <c r="BR15" i="22" s="1"/>
  <c r="BQ14" i="22"/>
  <c r="BR14" i="22" s="1"/>
  <c r="BQ13" i="22"/>
  <c r="BR13" i="22" s="1"/>
  <c r="BQ12" i="22"/>
  <c r="BR12" i="22" s="1"/>
  <c r="BQ11" i="22"/>
  <c r="BR11" i="22" s="1"/>
  <c r="BQ10" i="22"/>
  <c r="BR10" i="22" s="1"/>
  <c r="BQ9" i="22"/>
  <c r="BR9" i="22" s="1"/>
  <c r="BQ8" i="22"/>
  <c r="BR8" i="22" s="1"/>
  <c r="BQ7" i="22"/>
  <c r="BR7" i="22" s="1"/>
  <c r="BQ6" i="22"/>
  <c r="BR6" i="22" s="1"/>
  <c r="BQ5" i="22"/>
  <c r="BK36" i="22"/>
  <c r="BK39" i="22" s="1"/>
  <c r="BI35" i="22"/>
  <c r="BJ35" i="22" s="1"/>
  <c r="BI34" i="22"/>
  <c r="BJ34" i="22" s="1"/>
  <c r="BI33" i="22"/>
  <c r="BJ33" i="22" s="1"/>
  <c r="BI32" i="22"/>
  <c r="BJ32" i="22" s="1"/>
  <c r="BI31" i="22"/>
  <c r="BJ31" i="22" s="1"/>
  <c r="BI30" i="22"/>
  <c r="BJ30" i="22" s="1"/>
  <c r="BI29" i="22"/>
  <c r="BJ29" i="22" s="1"/>
  <c r="BI28" i="22"/>
  <c r="BJ28" i="22" s="1"/>
  <c r="BI27" i="22"/>
  <c r="BJ27" i="22" s="1"/>
  <c r="BI26" i="22"/>
  <c r="BJ26" i="22" s="1"/>
  <c r="BI25" i="22"/>
  <c r="BJ25" i="22" s="1"/>
  <c r="BI24" i="22"/>
  <c r="BJ24" i="22" s="1"/>
  <c r="BI23" i="22"/>
  <c r="BJ23" i="22" s="1"/>
  <c r="BI22" i="22"/>
  <c r="BJ22" i="22" s="1"/>
  <c r="BI21" i="22"/>
  <c r="BJ21" i="22" s="1"/>
  <c r="BI20" i="22"/>
  <c r="BJ20" i="22" s="1"/>
  <c r="BI19" i="22"/>
  <c r="BJ19" i="22" s="1"/>
  <c r="BI18" i="22"/>
  <c r="BJ18" i="22" s="1"/>
  <c r="BI17" i="22"/>
  <c r="BJ17" i="22" s="1"/>
  <c r="BI16" i="22"/>
  <c r="BJ16" i="22" s="1"/>
  <c r="BI15" i="22"/>
  <c r="BJ15" i="22" s="1"/>
  <c r="BI14" i="22"/>
  <c r="BJ14" i="22" s="1"/>
  <c r="BI13" i="22"/>
  <c r="BJ13" i="22" s="1"/>
  <c r="BI12" i="22"/>
  <c r="BJ12" i="22" s="1"/>
  <c r="BI11" i="22"/>
  <c r="BJ11" i="22" s="1"/>
  <c r="BI10" i="22"/>
  <c r="BJ10" i="22" s="1"/>
  <c r="BI9" i="22"/>
  <c r="BJ9" i="22" s="1"/>
  <c r="BI8" i="22"/>
  <c r="BJ8" i="22" s="1"/>
  <c r="BI7" i="22"/>
  <c r="BJ7" i="22" s="1"/>
  <c r="BI6" i="22"/>
  <c r="BJ6" i="22" s="1"/>
  <c r="BI5" i="22"/>
  <c r="AE36" i="22"/>
  <c r="AE39" i="22" s="1"/>
  <c r="AC35" i="22"/>
  <c r="AD35" i="22" s="1"/>
  <c r="AD34" i="22"/>
  <c r="AC34" i="22"/>
  <c r="AC33" i="22"/>
  <c r="AD33" i="22" s="1"/>
  <c r="AC32" i="22"/>
  <c r="AD32" i="22" s="1"/>
  <c r="AC31" i="22"/>
  <c r="AD31" i="22" s="1"/>
  <c r="AC30" i="22"/>
  <c r="AD30" i="22" s="1"/>
  <c r="AC29" i="22"/>
  <c r="AD29" i="22" s="1"/>
  <c r="AC28" i="22"/>
  <c r="AD28" i="22" s="1"/>
  <c r="AC27" i="22"/>
  <c r="AD27" i="22" s="1"/>
  <c r="AC26" i="22"/>
  <c r="AD26" i="22" s="1"/>
  <c r="AC25" i="22"/>
  <c r="AD25" i="22" s="1"/>
  <c r="AC24" i="22"/>
  <c r="AD24" i="22" s="1"/>
  <c r="AC23" i="22"/>
  <c r="AD23" i="22" s="1"/>
  <c r="AC22" i="22"/>
  <c r="AD22" i="22" s="1"/>
  <c r="AC21" i="22"/>
  <c r="AD21" i="22" s="1"/>
  <c r="AC20" i="22"/>
  <c r="AD20" i="22" s="1"/>
  <c r="AC19" i="22"/>
  <c r="AD19" i="22" s="1"/>
  <c r="AC18" i="22"/>
  <c r="AD18" i="22" s="1"/>
  <c r="AC17" i="22"/>
  <c r="AD17" i="22" s="1"/>
  <c r="AC16" i="22"/>
  <c r="AD16" i="22" s="1"/>
  <c r="AC15" i="22"/>
  <c r="AD15" i="22" s="1"/>
  <c r="AC14" i="22"/>
  <c r="AD14" i="22" s="1"/>
  <c r="AC13" i="22"/>
  <c r="AD13" i="22" s="1"/>
  <c r="AC12" i="22"/>
  <c r="AD12" i="22" s="1"/>
  <c r="AC11" i="22"/>
  <c r="AD11" i="22" s="1"/>
  <c r="AC10" i="22"/>
  <c r="AD10" i="22" s="1"/>
  <c r="AC9" i="22"/>
  <c r="AD9" i="22" s="1"/>
  <c r="AC8" i="22"/>
  <c r="AD8" i="22" s="1"/>
  <c r="AC7" i="22"/>
  <c r="AD7" i="22" s="1"/>
  <c r="AC6" i="22"/>
  <c r="AD6" i="22" s="1"/>
  <c r="AC5" i="22"/>
  <c r="O36" i="22"/>
  <c r="O39" i="22" s="1"/>
  <c r="N35" i="22"/>
  <c r="M35" i="22"/>
  <c r="M34" i="22"/>
  <c r="N34" i="22" s="1"/>
  <c r="M33" i="22"/>
  <c r="N33" i="22" s="1"/>
  <c r="M32" i="22"/>
  <c r="N32" i="22" s="1"/>
  <c r="M31" i="22"/>
  <c r="N31" i="22" s="1"/>
  <c r="M30" i="22"/>
  <c r="N30" i="22" s="1"/>
  <c r="M29" i="22"/>
  <c r="N29" i="22" s="1"/>
  <c r="M28" i="22"/>
  <c r="N28" i="22" s="1"/>
  <c r="M27" i="22"/>
  <c r="N27" i="22" s="1"/>
  <c r="M26" i="22"/>
  <c r="N26" i="22" s="1"/>
  <c r="M25" i="22"/>
  <c r="N25" i="22" s="1"/>
  <c r="M24" i="22"/>
  <c r="N24" i="22" s="1"/>
  <c r="M23" i="22"/>
  <c r="N23" i="22" s="1"/>
  <c r="M22" i="22"/>
  <c r="N22" i="22" s="1"/>
  <c r="M21" i="22"/>
  <c r="N21" i="22" s="1"/>
  <c r="M20" i="22"/>
  <c r="N20" i="22" s="1"/>
  <c r="M19" i="22"/>
  <c r="N19" i="22" s="1"/>
  <c r="M18" i="22"/>
  <c r="N18" i="22" s="1"/>
  <c r="M17" i="22"/>
  <c r="N17" i="22" s="1"/>
  <c r="M16" i="22"/>
  <c r="N16" i="22" s="1"/>
  <c r="M15" i="22"/>
  <c r="N15" i="22" s="1"/>
  <c r="M14" i="22"/>
  <c r="N14" i="22" s="1"/>
  <c r="M13" i="22"/>
  <c r="N13" i="22" s="1"/>
  <c r="M12" i="22"/>
  <c r="N12" i="22" s="1"/>
  <c r="M11" i="22"/>
  <c r="N11" i="22" s="1"/>
  <c r="M10" i="22"/>
  <c r="N10" i="22" s="1"/>
  <c r="M9" i="22"/>
  <c r="N9" i="22" s="1"/>
  <c r="M8" i="22"/>
  <c r="N8" i="22" s="1"/>
  <c r="M7" i="22"/>
  <c r="N7" i="22" s="1"/>
  <c r="M6" i="22"/>
  <c r="N6" i="22" s="1"/>
  <c r="M5" i="22"/>
  <c r="E5" i="22"/>
  <c r="G36" i="22"/>
  <c r="BQ36" i="22" l="1"/>
  <c r="BI36" i="22"/>
  <c r="BR5" i="22"/>
  <c r="BJ5" i="22"/>
  <c r="AC36" i="22"/>
  <c r="AD5" i="22"/>
  <c r="M36" i="22"/>
  <c r="N5" i="22"/>
  <c r="AM39" i="22"/>
  <c r="BC36" i="22"/>
  <c r="BC39" i="22" s="1"/>
  <c r="BA35" i="22"/>
  <c r="BB35" i="22" s="1"/>
  <c r="BA34" i="22"/>
  <c r="BB34" i="22" s="1"/>
  <c r="BA33" i="22"/>
  <c r="BB33" i="22" s="1"/>
  <c r="BA32" i="22"/>
  <c r="BB32" i="22" s="1"/>
  <c r="BA31" i="22"/>
  <c r="BB31" i="22" s="1"/>
  <c r="BA30" i="22"/>
  <c r="BB30" i="22" s="1"/>
  <c r="BA29" i="22"/>
  <c r="BB29" i="22" s="1"/>
  <c r="BA28" i="22"/>
  <c r="BB28" i="22" s="1"/>
  <c r="BA27" i="22"/>
  <c r="BB27" i="22" s="1"/>
  <c r="BA26" i="22"/>
  <c r="BB26" i="22" s="1"/>
  <c r="BA25" i="22"/>
  <c r="BB25" i="22" s="1"/>
  <c r="BA24" i="22"/>
  <c r="BB24" i="22" s="1"/>
  <c r="BA23" i="22"/>
  <c r="BB23" i="22" s="1"/>
  <c r="BA22" i="22"/>
  <c r="BB22" i="22" s="1"/>
  <c r="BA21" i="22"/>
  <c r="BB21" i="22" s="1"/>
  <c r="BA20" i="22"/>
  <c r="BB20" i="22" s="1"/>
  <c r="BA19" i="22"/>
  <c r="BB19" i="22" s="1"/>
  <c r="BA18" i="22"/>
  <c r="BB18" i="22" s="1"/>
  <c r="BA17" i="22"/>
  <c r="BB17" i="22" s="1"/>
  <c r="BA16" i="22"/>
  <c r="BB16" i="22" s="1"/>
  <c r="BA15" i="22"/>
  <c r="BB15" i="22" s="1"/>
  <c r="BA14" i="22"/>
  <c r="BB14" i="22" s="1"/>
  <c r="BA13" i="22"/>
  <c r="BB13" i="22" s="1"/>
  <c r="BA12" i="22"/>
  <c r="BB12" i="22" s="1"/>
  <c r="BA11" i="22"/>
  <c r="BB11" i="22" s="1"/>
  <c r="BA10" i="22"/>
  <c r="BB10" i="22" s="1"/>
  <c r="BA9" i="22"/>
  <c r="BB9" i="22" s="1"/>
  <c r="BA8" i="22"/>
  <c r="BB8" i="22" s="1"/>
  <c r="BA7" i="22"/>
  <c r="BB7" i="22" s="1"/>
  <c r="BA6" i="22"/>
  <c r="BB6" i="22" s="1"/>
  <c r="BA5" i="22"/>
  <c r="BA36" i="22" l="1"/>
  <c r="BB5" i="22"/>
  <c r="AU36" i="22"/>
  <c r="AU39" i="22" s="1"/>
  <c r="U16" i="22"/>
  <c r="V16" i="22" s="1"/>
  <c r="U17" i="22"/>
  <c r="V17" i="22" s="1"/>
  <c r="U15" i="22"/>
  <c r="V15" i="22" s="1"/>
  <c r="U6" i="22"/>
  <c r="V6" i="22" s="1"/>
  <c r="U7" i="22"/>
  <c r="V7" i="22" s="1"/>
  <c r="U8" i="22"/>
  <c r="V8" i="22" s="1"/>
  <c r="U9" i="22"/>
  <c r="V9" i="22" s="1"/>
  <c r="U10" i="22"/>
  <c r="V10" i="22" s="1"/>
  <c r="U11" i="22"/>
  <c r="V11" i="22" s="1"/>
  <c r="U12" i="22"/>
  <c r="V12" i="22" s="1"/>
  <c r="U13" i="22"/>
  <c r="V13" i="22" s="1"/>
  <c r="U14" i="22"/>
  <c r="V14" i="22" s="1"/>
  <c r="U18" i="22"/>
  <c r="V18" i="22" s="1"/>
  <c r="U19" i="22"/>
  <c r="V19" i="22" s="1"/>
  <c r="U20" i="22"/>
  <c r="V20" i="22" s="1"/>
  <c r="U21" i="22"/>
  <c r="V21" i="22" s="1"/>
  <c r="U22" i="22"/>
  <c r="V22" i="22" s="1"/>
  <c r="U23" i="22"/>
  <c r="V23" i="22" s="1"/>
  <c r="U24" i="22"/>
  <c r="V24" i="22" s="1"/>
  <c r="U25" i="22"/>
  <c r="V25" i="22" s="1"/>
  <c r="U26" i="22"/>
  <c r="V26" i="22" s="1"/>
  <c r="U27" i="22"/>
  <c r="V27" i="22" s="1"/>
  <c r="U28" i="22"/>
  <c r="V28" i="22" s="1"/>
  <c r="U29" i="22"/>
  <c r="V29" i="22" s="1"/>
  <c r="U30" i="22"/>
  <c r="V30" i="22" s="1"/>
  <c r="U31" i="22"/>
  <c r="V31" i="22" s="1"/>
  <c r="U32" i="22"/>
  <c r="V32" i="22" s="1"/>
  <c r="U33" i="22"/>
  <c r="U34" i="22"/>
  <c r="V34" i="22" s="1"/>
  <c r="U35" i="22"/>
  <c r="V35" i="22" s="1"/>
  <c r="W36" i="22"/>
  <c r="W39" i="22" s="1"/>
  <c r="U5" i="22"/>
  <c r="E34" i="22"/>
  <c r="F34" i="22" s="1"/>
  <c r="G39" i="22"/>
  <c r="V33" i="22" l="1"/>
  <c r="U36" i="22"/>
  <c r="AS36" i="22"/>
  <c r="V5" i="22"/>
  <c r="E26" i="22"/>
  <c r="F26" i="22" s="1"/>
  <c r="E27" i="22"/>
  <c r="F27" i="22" s="1"/>
  <c r="E28" i="22"/>
  <c r="F28" i="22" s="1"/>
  <c r="E29" i="22"/>
  <c r="F29" i="22" s="1"/>
  <c r="E30" i="22"/>
  <c r="F30" i="22" s="1"/>
  <c r="E31" i="22"/>
  <c r="F31" i="22" s="1"/>
  <c r="E32" i="22"/>
  <c r="F32" i="22" s="1"/>
  <c r="E33" i="22"/>
  <c r="E35" i="22"/>
  <c r="F35" i="22" s="1"/>
  <c r="E20" i="22"/>
  <c r="F20" i="22" s="1"/>
  <c r="E21" i="22"/>
  <c r="F21" i="22" s="1"/>
  <c r="E22" i="22"/>
  <c r="F22" i="22" s="1"/>
  <c r="E23" i="22"/>
  <c r="F23" i="22" s="1"/>
  <c r="E24" i="22"/>
  <c r="F24" i="22" s="1"/>
  <c r="E25" i="22"/>
  <c r="F25" i="22" s="1"/>
  <c r="E6" i="22"/>
  <c r="E7" i="22"/>
  <c r="F7" i="22" s="1"/>
  <c r="E8" i="22"/>
  <c r="F8" i="22" s="1"/>
  <c r="E9" i="22"/>
  <c r="F9" i="22" s="1"/>
  <c r="E10" i="22"/>
  <c r="F10" i="22" s="1"/>
  <c r="E11" i="22"/>
  <c r="F11" i="22" s="1"/>
  <c r="E12" i="22"/>
  <c r="F12" i="22" s="1"/>
  <c r="E13" i="22"/>
  <c r="F13" i="22" s="1"/>
  <c r="E14" i="22"/>
  <c r="F14" i="22" s="1"/>
  <c r="E15" i="22"/>
  <c r="F15" i="22" s="1"/>
  <c r="E16" i="22"/>
  <c r="F16" i="22" s="1"/>
  <c r="E17" i="22"/>
  <c r="F17" i="22" s="1"/>
  <c r="E18" i="22"/>
  <c r="F18" i="22" s="1"/>
  <c r="E19" i="22"/>
  <c r="F19" i="22" s="1"/>
  <c r="F5" i="22"/>
  <c r="F6" i="22" l="1"/>
  <c r="E36" i="22"/>
  <c r="F33" i="22"/>
</calcChain>
</file>

<file path=xl/sharedStrings.xml><?xml version="1.0" encoding="utf-8"?>
<sst xmlns="http://schemas.openxmlformats.org/spreadsheetml/2006/main" count="91" uniqueCount="18">
  <si>
    <t>TOTAL</t>
  </si>
  <si>
    <t>ADVANCE</t>
  </si>
  <si>
    <t>BALANCE</t>
  </si>
  <si>
    <t>TOTAL HOURS</t>
  </si>
  <si>
    <t>PURCHASE</t>
  </si>
  <si>
    <t xml:space="preserve">IN </t>
  </si>
  <si>
    <t>OUT</t>
  </si>
  <si>
    <t>SINAN</t>
  </si>
  <si>
    <t>ASHFAK</t>
  </si>
  <si>
    <t>01-02-2025 TO 26-02-2026</t>
  </si>
  <si>
    <t xml:space="preserve">ARATHY </t>
  </si>
  <si>
    <t>ZINAN</t>
  </si>
  <si>
    <t>ROHITH</t>
  </si>
  <si>
    <t>MIDHUN</t>
  </si>
  <si>
    <t>SREERAG</t>
  </si>
  <si>
    <t xml:space="preserve">SWALIH </t>
  </si>
  <si>
    <t>NIHAL</t>
  </si>
  <si>
    <t>SHIFIL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</si>
</sst>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[h]:mm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1" fillId="0" borderId="1" xfId="0" applyFont="1" applyBorder="1"/>
    <xf numFmtId="0" fontId="4" fillId="0" borderId="1" xfId="0" applyFont="1" applyBorder="1"/>
    <xf numFmtId="0" fontId="6" fillId="0" borderId="0" xfId="0" applyFont="1"/>
    <xf numFmtId="0" fontId="1" fillId="0" borderId="4" xfId="0" applyFont="1" applyBorder="1"/>
    <xf numFmtId="0" fontId="0" fillId="0" borderId="1" xfId="0" applyFont="1" applyBorder="1"/>
    <xf numFmtId="0" fontId="0" fillId="0" borderId="4" xfId="0" applyFont="1" applyBorder="1"/>
    <xf numFmtId="17" fontId="0" fillId="0" borderId="1" xfId="0" applyNumberFormat="1" applyFont="1" applyBorder="1" applyAlignment="1">
      <alignment horizontal="center"/>
    </xf>
    <xf numFmtId="17" fontId="4" fillId="0" borderId="1" xfId="0" applyNumberFormat="1" applyFont="1" applyBorder="1" applyAlignment="1">
      <alignment horizontal="center"/>
    </xf>
    <xf numFmtId="0" fontId="4" fillId="0" borderId="4" xfId="0" applyFont="1" applyBorder="1"/>
    <xf numFmtId="0" fontId="0" fillId="0" borderId="0" xfId="0" applyFont="1" applyBorder="1"/>
    <xf numFmtId="0" fontId="4" fillId="0" borderId="0" xfId="0" applyFont="1" applyBorder="1"/>
    <xf numFmtId="0" fontId="0" fillId="0" borderId="0" xfId="0" applyFill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9" xfId="0" applyFill="1" applyBorder="1"/>
    <xf numFmtId="0" fontId="0" fillId="0" borderId="5" xfId="0" applyFont="1" applyBorder="1"/>
    <xf numFmtId="0" fontId="0" fillId="0" borderId="8" xfId="0" applyFont="1" applyFill="1" applyBorder="1"/>
    <xf numFmtId="0" fontId="4" fillId="0" borderId="5" xfId="0" applyFont="1" applyBorder="1"/>
    <xf numFmtId="0" fontId="4" fillId="0" borderId="8" xfId="0" applyFont="1" applyFill="1" applyBorder="1"/>
    <xf numFmtId="0" fontId="3" fillId="0" borderId="10" xfId="0" applyFont="1" applyFill="1" applyBorder="1"/>
    <xf numFmtId="0" fontId="5" fillId="0" borderId="6" xfId="0" applyFont="1" applyBorder="1"/>
    <xf numFmtId="0" fontId="5" fillId="0" borderId="7" xfId="0" applyFont="1" applyBorder="1"/>
    <xf numFmtId="0" fontId="5" fillId="0" borderId="12" xfId="0" applyFont="1" applyFill="1" applyBorder="1"/>
    <xf numFmtId="0" fontId="5" fillId="0" borderId="6" xfId="0" applyFont="1" applyFill="1" applyBorder="1"/>
    <xf numFmtId="0" fontId="0" fillId="0" borderId="0" xfId="0" applyFont="1" applyFill="1" applyBorder="1"/>
    <xf numFmtId="17" fontId="0" fillId="0" borderId="4" xfId="0" applyNumberFormat="1" applyFont="1" applyBorder="1" applyAlignment="1">
      <alignment horizontal="center"/>
    </xf>
    <xf numFmtId="0" fontId="0" fillId="0" borderId="8" xfId="0" applyFont="1" applyBorder="1"/>
    <xf numFmtId="0" fontId="1" fillId="0" borderId="8" xfId="0" applyFont="1" applyFill="1" applyBorder="1"/>
    <xf numFmtId="17" fontId="0" fillId="0" borderId="1" xfId="0" applyNumberFormat="1" applyFont="1" applyBorder="1" applyAlignment="1">
      <alignment horizontal="center"/>
    </xf>
    <xf numFmtId="17" fontId="0" fillId="0" borderId="4" xfId="0" applyNumberFormat="1" applyFont="1" applyBorder="1" applyAlignment="1">
      <alignment horizontal="center"/>
    </xf>
    <xf numFmtId="18" fontId="0" fillId="0" borderId="1" xfId="0" applyNumberFormat="1" applyFont="1" applyBorder="1"/>
    <xf numFmtId="18" fontId="0" fillId="0" borderId="1" xfId="0" applyNumberFormat="1" applyFont="1" applyFill="1" applyBorder="1"/>
    <xf numFmtId="17" fontId="0" fillId="0" borderId="4" xfId="0" applyNumberFormat="1" applyFont="1" applyBorder="1" applyAlignment="1">
      <alignment horizontal="center"/>
    </xf>
    <xf numFmtId="17" fontId="0" fillId="0" borderId="1" xfId="0" applyNumberFormat="1" applyFont="1" applyBorder="1" applyAlignment="1">
      <alignment horizontal="center"/>
    </xf>
    <xf numFmtId="0" fontId="0" fillId="0" borderId="0" xfId="0" applyNumberFormat="1" applyFont="1" applyBorder="1"/>
    <xf numFmtId="2" fontId="0" fillId="0" borderId="5" xfId="0" applyNumberFormat="1" applyFont="1" applyBorder="1"/>
    <xf numFmtId="20" fontId="0" fillId="0" borderId="1" xfId="0" applyNumberFormat="1" applyFont="1" applyBorder="1"/>
    <xf numFmtId="165" fontId="0" fillId="0" borderId="0" xfId="0" applyNumberFormat="1" applyFont="1" applyBorder="1"/>
    <xf numFmtId="18" fontId="1" fillId="0" borderId="1" xfId="0" applyNumberFormat="1" applyFont="1" applyBorder="1"/>
    <xf numFmtId="20" fontId="1" fillId="0" borderId="1" xfId="0" applyNumberFormat="1" applyFont="1" applyBorder="1"/>
    <xf numFmtId="0" fontId="1" fillId="0" borderId="0" xfId="0" applyNumberFormat="1" applyFont="1" applyBorder="1"/>
    <xf numFmtId="1" fontId="0" fillId="0" borderId="5" xfId="0" applyNumberFormat="1" applyFont="1" applyBorder="1"/>
    <xf numFmtId="1" fontId="1" fillId="2" borderId="5" xfId="0" applyNumberFormat="1" applyFont="1" applyFill="1" applyBorder="1"/>
    <xf numFmtId="17" fontId="0" fillId="0" borderId="4" xfId="0" applyNumberFormat="1" applyFont="1" applyBorder="1" applyAlignment="1">
      <alignment horizontal="center"/>
    </xf>
    <xf numFmtId="17" fontId="0" fillId="0" borderId="1" xfId="0" applyNumberFormat="1" applyFont="1" applyBorder="1" applyAlignment="1">
      <alignment horizontal="center"/>
    </xf>
    <xf numFmtId="17" fontId="0" fillId="0" borderId="4" xfId="0" applyNumberFormat="1" applyFont="1" applyBorder="1" applyAlignment="1">
      <alignment horizontal="center"/>
    </xf>
    <xf numFmtId="17" fontId="0" fillId="0" borderId="1" xfId="0" applyNumberFormat="1" applyFont="1" applyBorder="1" applyAlignment="1">
      <alignment horizontal="center"/>
    </xf>
    <xf numFmtId="0" fontId="1" fillId="0" borderId="4" xfId="0" applyFont="1" applyFill="1" applyBorder="1"/>
    <xf numFmtId="18" fontId="1" fillId="0" borderId="1" xfId="0" applyNumberFormat="1" applyFont="1" applyFill="1" applyBorder="1"/>
    <xf numFmtId="0" fontId="1" fillId="0" borderId="1" xfId="0" applyFont="1" applyFill="1" applyBorder="1"/>
    <xf numFmtId="20" fontId="1" fillId="0" borderId="1" xfId="0" applyNumberFormat="1" applyFont="1" applyFill="1" applyBorder="1"/>
    <xf numFmtId="0" fontId="1" fillId="0" borderId="0" xfId="0" applyNumberFormat="1" applyFont="1" applyFill="1" applyBorder="1"/>
    <xf numFmtId="17" fontId="4" fillId="0" borderId="4" xfId="0" applyNumberFormat="1" applyFont="1" applyBorder="1" applyAlignment="1">
      <alignment horizontal="center"/>
    </xf>
    <xf numFmtId="18" fontId="4" fillId="0" borderId="1" xfId="0" applyNumberFormat="1" applyFont="1" applyBorder="1"/>
    <xf numFmtId="20" fontId="4" fillId="0" borderId="1" xfId="0" applyNumberFormat="1" applyFont="1" applyBorder="1"/>
    <xf numFmtId="0" fontId="4" fillId="0" borderId="0" xfId="0" applyNumberFormat="1" applyFont="1" applyBorder="1"/>
    <xf numFmtId="2" fontId="4" fillId="0" borderId="5" xfId="0" applyNumberFormat="1" applyFont="1" applyBorder="1"/>
    <xf numFmtId="0" fontId="4" fillId="0" borderId="4" xfId="0" applyFont="1" applyFill="1" applyBorder="1"/>
    <xf numFmtId="18" fontId="4" fillId="0" borderId="1" xfId="0" applyNumberFormat="1" applyFont="1" applyFill="1" applyBorder="1"/>
    <xf numFmtId="0" fontId="4" fillId="0" borderId="1" xfId="0" applyFont="1" applyFill="1" applyBorder="1"/>
    <xf numFmtId="20" fontId="4" fillId="0" borderId="1" xfId="0" applyNumberFormat="1" applyFont="1" applyFill="1" applyBorder="1"/>
    <xf numFmtId="0" fontId="4" fillId="0" borderId="0" xfId="0" applyNumberFormat="1" applyFont="1" applyFill="1" applyBorder="1"/>
    <xf numFmtId="0" fontId="4" fillId="0" borderId="8" xfId="0" applyFont="1" applyBorder="1"/>
    <xf numFmtId="165" fontId="4" fillId="0" borderId="0" xfId="0" applyNumberFormat="1" applyFont="1" applyBorder="1"/>
    <xf numFmtId="1" fontId="4" fillId="0" borderId="5" xfId="0" applyNumberFormat="1" applyFont="1" applyBorder="1"/>
    <xf numFmtId="164" fontId="7" fillId="0" borderId="10" xfId="0" applyNumberFormat="1" applyFont="1" applyBorder="1" applyAlignment="1">
      <alignment horizontal="center" vertical="center"/>
    </xf>
    <xf numFmtId="17" fontId="0" fillId="0" borderId="4" xfId="0" applyNumberFormat="1" applyFont="1" applyBorder="1" applyAlignment="1">
      <alignment horizontal="center"/>
    </xf>
    <xf numFmtId="17" fontId="0" fillId="0" borderId="1" xfId="0" applyNumberFormat="1" applyFont="1" applyBorder="1" applyAlignment="1">
      <alignment horizontal="center"/>
    </xf>
    <xf numFmtId="17" fontId="4" fillId="0" borderId="4" xfId="0" applyNumberFormat="1" applyFont="1" applyBorder="1" applyAlignment="1">
      <alignment horizontal="center"/>
    </xf>
    <xf numFmtId="17" fontId="4" fillId="0" borderId="1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40"/>
  <sheetViews>
    <sheetView tabSelected="1" topLeftCell="D1" zoomScale="76" zoomScaleNormal="76" workbookViewId="0">
      <selection activeCell="AZ9" sqref="AZ9"/>
    </sheetView>
  </sheetViews>
  <sheetFormatPr defaultRowHeight="14.4" x14ac:dyDescent="0.3"/>
  <cols>
    <col min="2" max="3" width="12.21875" bestFit="1" customWidth="1"/>
    <col min="4" max="4" width="12.6640625" bestFit="1" customWidth="1"/>
    <col min="5" max="5" width="16.44140625" customWidth="1"/>
    <col min="7" max="7" width="16.5546875" customWidth="1"/>
    <col min="8" max="8" width="8.88671875" style="13"/>
    <col min="12" max="12" width="12.6640625" bestFit="1" customWidth="1"/>
    <col min="13" max="13" width="16.44140625" bestFit="1" customWidth="1"/>
    <col min="16" max="16" width="8.88671875" style="13"/>
    <col min="20" max="20" width="10.109375" bestFit="1" customWidth="1"/>
    <col min="21" max="21" width="16" customWidth="1"/>
    <col min="22" max="22" width="10" bestFit="1" customWidth="1"/>
    <col min="23" max="23" width="7.77734375" customWidth="1"/>
    <col min="24" max="24" width="8.88671875" style="13"/>
    <col min="28" max="28" width="10.109375" bestFit="1" customWidth="1"/>
    <col min="29" max="29" width="13.44140625" bestFit="1" customWidth="1"/>
    <col min="32" max="32" width="8.88671875" style="13"/>
    <col min="36" max="36" width="10.109375" bestFit="1" customWidth="1"/>
    <col min="37" max="37" width="13.44140625" bestFit="1" customWidth="1"/>
    <col min="40" max="40" width="8.88671875" style="13"/>
    <col min="44" max="44" width="10.109375" bestFit="1" customWidth="1"/>
    <col min="45" max="45" width="13.44140625" bestFit="1" customWidth="1"/>
    <col min="48" max="48" width="8.88671875" style="13"/>
    <col min="52" max="52" width="10.109375" bestFit="1" customWidth="1"/>
    <col min="53" max="53" width="13.44140625" bestFit="1" customWidth="1"/>
  </cols>
  <sheetData>
    <row r="1" spans="1:79" ht="24" customHeight="1" thickBot="1" x14ac:dyDescent="0.35">
      <c r="A1" s="68" t="s">
        <v>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</row>
    <row r="2" spans="1:79" s="4" customFormat="1" ht="18" x14ac:dyDescent="0.35">
      <c r="A2" s="73" t="s">
        <v>10</v>
      </c>
      <c r="B2" s="74"/>
      <c r="C2" s="74"/>
      <c r="D2" s="74"/>
      <c r="E2" s="74"/>
      <c r="F2" s="23"/>
      <c r="G2" s="24"/>
      <c r="H2" s="25"/>
      <c r="I2" s="74" t="s">
        <v>8</v>
      </c>
      <c r="J2" s="74"/>
      <c r="K2" s="74"/>
      <c r="L2" s="74"/>
      <c r="M2" s="74"/>
      <c r="N2" s="23"/>
      <c r="O2" s="24"/>
      <c r="P2" s="25"/>
      <c r="Q2" s="74" t="s">
        <v>11</v>
      </c>
      <c r="R2" s="74"/>
      <c r="S2" s="74"/>
      <c r="T2" s="74"/>
      <c r="U2" s="74"/>
      <c r="V2" s="23"/>
      <c r="W2" s="24"/>
      <c r="X2" s="26"/>
      <c r="Y2" s="74" t="s">
        <v>12</v>
      </c>
      <c r="Z2" s="74"/>
      <c r="AA2" s="74"/>
      <c r="AB2" s="74"/>
      <c r="AC2" s="74"/>
      <c r="AD2" s="23"/>
      <c r="AE2" s="24"/>
      <c r="AF2" s="25"/>
      <c r="AG2" s="74" t="s">
        <v>13</v>
      </c>
      <c r="AH2" s="74"/>
      <c r="AI2" s="74"/>
      <c r="AJ2" s="74"/>
      <c r="AK2" s="74"/>
      <c r="AL2" s="23"/>
      <c r="AM2" s="24"/>
      <c r="AN2" s="25"/>
      <c r="AO2" s="74" t="s">
        <v>14</v>
      </c>
      <c r="AP2" s="74"/>
      <c r="AQ2" s="74"/>
      <c r="AR2" s="74"/>
      <c r="AS2" s="74"/>
      <c r="AT2" s="23"/>
      <c r="AU2" s="24"/>
      <c r="AV2" s="25"/>
      <c r="AW2" s="74" t="s">
        <v>15</v>
      </c>
      <c r="AX2" s="74"/>
      <c r="AY2" s="74"/>
      <c r="AZ2" s="74"/>
      <c r="BA2" s="74"/>
      <c r="BB2" s="23"/>
      <c r="BC2" s="24"/>
      <c r="BD2" s="25"/>
      <c r="BE2" s="74" t="s">
        <v>16</v>
      </c>
      <c r="BF2" s="74"/>
      <c r="BG2" s="74"/>
      <c r="BH2" s="74"/>
      <c r="BI2" s="74"/>
      <c r="BJ2" s="23"/>
      <c r="BK2" s="24"/>
      <c r="BL2" s="25"/>
      <c r="BM2" s="74" t="s">
        <v>7</v>
      </c>
      <c r="BN2" s="74"/>
      <c r="BO2" s="74"/>
      <c r="BP2" s="74"/>
      <c r="BQ2" s="74"/>
      <c r="BR2" s="23"/>
      <c r="BS2" s="24"/>
      <c r="BT2" s="25"/>
      <c r="BU2" s="74" t="s">
        <v>17</v>
      </c>
      <c r="BV2" s="74"/>
      <c r="BW2" s="74"/>
      <c r="BX2" s="74"/>
      <c r="BY2" s="74"/>
      <c r="BZ2" s="23"/>
      <c r="CA2" s="24"/>
    </row>
    <row r="3" spans="1:79" s="1" customFormat="1" x14ac:dyDescent="0.3">
      <c r="A3" s="69">
        <v>45992</v>
      </c>
      <c r="B3" s="70"/>
      <c r="C3" s="70"/>
      <c r="D3" s="6" t="s">
        <v>4</v>
      </c>
      <c r="E3" s="6" t="s">
        <v>3</v>
      </c>
      <c r="F3" s="11"/>
      <c r="G3" s="18"/>
      <c r="H3" s="19"/>
      <c r="I3" s="71">
        <v>45992</v>
      </c>
      <c r="J3" s="72"/>
      <c r="K3" s="72"/>
      <c r="L3" s="3" t="s">
        <v>4</v>
      </c>
      <c r="M3" s="3" t="s">
        <v>3</v>
      </c>
      <c r="N3" s="12"/>
      <c r="O3" s="20"/>
      <c r="P3" s="19"/>
      <c r="Q3" s="69">
        <v>45992</v>
      </c>
      <c r="R3" s="70"/>
      <c r="S3" s="70"/>
      <c r="T3" s="6" t="s">
        <v>4</v>
      </c>
      <c r="U3" s="6" t="s">
        <v>3</v>
      </c>
      <c r="V3" s="11"/>
      <c r="W3" s="18"/>
      <c r="X3" s="27"/>
      <c r="Y3" s="69">
        <v>45992</v>
      </c>
      <c r="Z3" s="70"/>
      <c r="AA3" s="70"/>
      <c r="AB3" s="6" t="s">
        <v>4</v>
      </c>
      <c r="AC3" s="6" t="s">
        <v>3</v>
      </c>
      <c r="AD3" s="11"/>
      <c r="AE3" s="18"/>
      <c r="AF3" s="19"/>
      <c r="AG3" s="69">
        <v>45992</v>
      </c>
      <c r="AH3" s="70"/>
      <c r="AI3" s="70"/>
      <c r="AJ3" s="6" t="s">
        <v>4</v>
      </c>
      <c r="AK3" s="6" t="s">
        <v>3</v>
      </c>
      <c r="AL3" s="11"/>
      <c r="AM3" s="18"/>
      <c r="AN3" s="19"/>
      <c r="AO3" s="69">
        <v>45992</v>
      </c>
      <c r="AP3" s="70"/>
      <c r="AQ3" s="70"/>
      <c r="AR3" s="6" t="s">
        <v>4</v>
      </c>
      <c r="AS3" s="6" t="s">
        <v>3</v>
      </c>
      <c r="AT3" s="11"/>
      <c r="AU3" s="18"/>
      <c r="AV3" s="21"/>
      <c r="AW3" s="69">
        <v>45992</v>
      </c>
      <c r="AX3" s="70"/>
      <c r="AY3" s="70"/>
      <c r="AZ3" s="6" t="s">
        <v>4</v>
      </c>
      <c r="BA3" s="6" t="s">
        <v>3</v>
      </c>
      <c r="BB3" s="11"/>
      <c r="BC3" s="18"/>
      <c r="BD3" s="19"/>
      <c r="BE3" s="69">
        <v>45992</v>
      </c>
      <c r="BF3" s="70"/>
      <c r="BG3" s="70"/>
      <c r="BH3" s="6" t="s">
        <v>4</v>
      </c>
      <c r="BI3" s="6" t="s">
        <v>3</v>
      </c>
      <c r="BJ3" s="11"/>
      <c r="BK3" s="18"/>
      <c r="BL3" s="19"/>
      <c r="BM3" s="69">
        <v>45992</v>
      </c>
      <c r="BN3" s="70"/>
      <c r="BO3" s="70"/>
      <c r="BP3" s="6" t="s">
        <v>4</v>
      </c>
      <c r="BQ3" s="6" t="s">
        <v>3</v>
      </c>
      <c r="BR3" s="11"/>
      <c r="BS3" s="18"/>
      <c r="BT3" s="19"/>
      <c r="BU3" s="69">
        <v>45992</v>
      </c>
      <c r="BV3" s="70"/>
      <c r="BW3" s="70"/>
      <c r="BX3" s="6" t="s">
        <v>4</v>
      </c>
      <c r="BY3" s="6" t="s">
        <v>3</v>
      </c>
      <c r="BZ3" s="11"/>
      <c r="CA3" s="18"/>
    </row>
    <row r="4" spans="1:79" x14ac:dyDescent="0.3">
      <c r="A4" s="28"/>
      <c r="B4" s="8" t="s">
        <v>5</v>
      </c>
      <c r="C4" s="6" t="s">
        <v>6</v>
      </c>
      <c r="D4" s="6"/>
      <c r="E4" s="6"/>
      <c r="F4" s="11"/>
      <c r="G4" s="18"/>
      <c r="H4" s="19"/>
      <c r="I4" s="55"/>
      <c r="J4" s="9" t="s">
        <v>5</v>
      </c>
      <c r="K4" s="3" t="s">
        <v>6</v>
      </c>
      <c r="L4" s="3"/>
      <c r="M4" s="3"/>
      <c r="N4" s="12"/>
      <c r="O4" s="20"/>
      <c r="P4" s="19"/>
      <c r="Q4" s="32"/>
      <c r="R4" s="31" t="s">
        <v>5</v>
      </c>
      <c r="S4" s="6" t="s">
        <v>6</v>
      </c>
      <c r="T4" s="6"/>
      <c r="U4" s="6"/>
      <c r="V4" s="11"/>
      <c r="W4" s="18"/>
      <c r="X4" s="27"/>
      <c r="Y4" s="46"/>
      <c r="Z4" s="47" t="s">
        <v>5</v>
      </c>
      <c r="AA4" s="6" t="s">
        <v>6</v>
      </c>
      <c r="AB4" s="6"/>
      <c r="AC4" s="6"/>
      <c r="AD4" s="11"/>
      <c r="AE4" s="18"/>
      <c r="AF4" s="19"/>
      <c r="AG4" s="48"/>
      <c r="AH4" s="49" t="s">
        <v>5</v>
      </c>
      <c r="AI4" s="6" t="s">
        <v>6</v>
      </c>
      <c r="AJ4" s="6"/>
      <c r="AK4" s="6"/>
      <c r="AL4" s="11"/>
      <c r="AM4" s="18"/>
      <c r="AN4" s="19"/>
      <c r="AO4" s="48"/>
      <c r="AP4" s="49" t="s">
        <v>5</v>
      </c>
      <c r="AQ4" s="6" t="s">
        <v>6</v>
      </c>
      <c r="AR4" s="6"/>
      <c r="AS4" s="6"/>
      <c r="AT4" s="11"/>
      <c r="AU4" s="18"/>
      <c r="AV4" s="21"/>
      <c r="AW4" s="35"/>
      <c r="AX4" s="36" t="s">
        <v>5</v>
      </c>
      <c r="AY4" s="6" t="s">
        <v>6</v>
      </c>
      <c r="AZ4" s="6"/>
      <c r="BA4" s="6"/>
      <c r="BB4" s="11"/>
      <c r="BC4" s="18"/>
      <c r="BD4" s="19"/>
      <c r="BE4" s="46"/>
      <c r="BF4" s="47" t="s">
        <v>5</v>
      </c>
      <c r="BG4" s="6" t="s">
        <v>6</v>
      </c>
      <c r="BH4" s="6"/>
      <c r="BI4" s="6"/>
      <c r="BJ4" s="11"/>
      <c r="BK4" s="18"/>
      <c r="BL4" s="19"/>
      <c r="BM4" s="46"/>
      <c r="BN4" s="47" t="s">
        <v>5</v>
      </c>
      <c r="BO4" s="6" t="s">
        <v>6</v>
      </c>
      <c r="BP4" s="6"/>
      <c r="BQ4" s="6"/>
      <c r="BR4" s="11"/>
      <c r="BS4" s="18"/>
      <c r="BT4" s="19"/>
      <c r="BU4" s="48"/>
      <c r="BV4" s="49" t="s">
        <v>5</v>
      </c>
      <c r="BW4" s="6" t="s">
        <v>6</v>
      </c>
      <c r="BX4" s="6"/>
      <c r="BY4" s="6"/>
      <c r="BZ4" s="11"/>
      <c r="CA4" s="18"/>
    </row>
    <row r="5" spans="1:79" x14ac:dyDescent="0.3">
      <c r="A5" s="7">
        <v>1</v>
      </c>
      <c r="B5" s="33">
        <v>0.22569444444444445</v>
      </c>
      <c r="C5" s="33">
        <v>0.43194444444444446</v>
      </c>
      <c r="D5" s="6"/>
      <c r="E5" s="39">
        <f>C5-B5</f>
        <v>0.20625000000000002</v>
      </c>
      <c r="F5" s="37" t="str">
        <f>TEXT(E5,"H.MM")</f>
        <v>4.57</v>
      </c>
      <c r="G5" s="38"/>
      <c r="H5" s="19"/>
      <c r="I5" s="10">
        <v>1</v>
      </c>
      <c r="J5" s="56">
        <v>0.22916666666666666</v>
      </c>
      <c r="K5" s="56">
        <v>0.44444444444444442</v>
      </c>
      <c r="L5" s="3"/>
      <c r="M5" s="57">
        <f>K5-J5</f>
        <v>0.21527777777777776</v>
      </c>
      <c r="N5" s="58" t="str">
        <f>TEXT(M5,"H.MM")</f>
        <v>5.10</v>
      </c>
      <c r="O5" s="59"/>
      <c r="P5" s="19"/>
      <c r="Q5" s="7">
        <v>1</v>
      </c>
      <c r="R5" s="33">
        <v>0.22916666666666666</v>
      </c>
      <c r="S5" s="33">
        <v>0.44444444444444442</v>
      </c>
      <c r="T5" s="6"/>
      <c r="U5" s="39">
        <f>S5-R5</f>
        <v>0.21527777777777776</v>
      </c>
      <c r="V5" s="37" t="str">
        <f>TEXT(U5,"H.MM")</f>
        <v>5.10</v>
      </c>
      <c r="W5" s="38"/>
      <c r="X5" s="27"/>
      <c r="Y5" s="7">
        <v>1</v>
      </c>
      <c r="Z5" s="33">
        <v>0.21875</v>
      </c>
      <c r="AA5" s="33">
        <v>0.44791666666666669</v>
      </c>
      <c r="AB5" s="6"/>
      <c r="AC5" s="39">
        <f>AA5-Z5</f>
        <v>0.22916666666666669</v>
      </c>
      <c r="AD5" s="37" t="str">
        <f>TEXT(AC5,"H.MM")</f>
        <v>5.30</v>
      </c>
      <c r="AE5" s="38"/>
      <c r="AF5" s="19"/>
      <c r="AG5" s="7">
        <v>1</v>
      </c>
      <c r="AH5" s="33">
        <v>0.20833333333333334</v>
      </c>
      <c r="AI5" s="33">
        <v>0.44791666666666669</v>
      </c>
      <c r="AJ5" s="6"/>
      <c r="AK5" s="39">
        <f>AI5-AH5</f>
        <v>0.23958333333333334</v>
      </c>
      <c r="AL5" s="37" t="str">
        <f>TEXT(AK5,"H.MM")</f>
        <v>5.45</v>
      </c>
      <c r="AM5" s="38"/>
      <c r="AN5" s="19"/>
      <c r="AO5" s="7">
        <v>1</v>
      </c>
      <c r="AP5" s="33">
        <v>0.20833333333333334</v>
      </c>
      <c r="AQ5" s="33">
        <v>0.44791666666666669</v>
      </c>
      <c r="AR5" s="6"/>
      <c r="AS5" s="39">
        <f>AQ5-AP5</f>
        <v>0.23958333333333334</v>
      </c>
      <c r="AT5" s="37" t="str">
        <f>TEXT(AS5,"H.MM")</f>
        <v>5.45</v>
      </c>
      <c r="AU5" s="38"/>
      <c r="AV5" s="21"/>
      <c r="AW5" s="5">
        <v>1</v>
      </c>
      <c r="AX5" s="41">
        <v>0.20833333333333334</v>
      </c>
      <c r="AY5" s="41">
        <v>0.44791666666666669</v>
      </c>
      <c r="AZ5" s="2"/>
      <c r="BA5" s="42">
        <f>AY5-AX5</f>
        <v>0.23958333333333334</v>
      </c>
      <c r="BB5" s="43" t="str">
        <f>TEXT(BA5,"H.MM")</f>
        <v>5.45</v>
      </c>
      <c r="BC5" s="38"/>
      <c r="BD5" s="19"/>
      <c r="BE5" s="7">
        <v>1</v>
      </c>
      <c r="BF5" s="33">
        <v>0.20833333333333334</v>
      </c>
      <c r="BG5" s="33">
        <v>0.46180555555555558</v>
      </c>
      <c r="BH5" s="6"/>
      <c r="BI5" s="39">
        <f>BG5-BF5</f>
        <v>0.25347222222222221</v>
      </c>
      <c r="BJ5" s="37" t="str">
        <f>TEXT(BI5,"H.MM")</f>
        <v>6.05</v>
      </c>
      <c r="BK5" s="38"/>
      <c r="BL5" s="19"/>
      <c r="BM5" s="7">
        <v>1</v>
      </c>
      <c r="BN5" s="33">
        <v>0.20833333333333334</v>
      </c>
      <c r="BO5" s="33">
        <v>0.44097222222222227</v>
      </c>
      <c r="BP5" s="6"/>
      <c r="BQ5" s="39">
        <f>BO5-BN5</f>
        <v>0.23263888888888892</v>
      </c>
      <c r="BR5" s="37" t="str">
        <f>TEXT(BQ5,"H.MM")</f>
        <v>5.35</v>
      </c>
      <c r="BS5" s="38"/>
      <c r="BT5" s="19"/>
      <c r="BU5" s="7">
        <v>1</v>
      </c>
      <c r="BV5" s="33">
        <v>0.5</v>
      </c>
      <c r="BW5" s="33">
        <v>0.5</v>
      </c>
      <c r="BX5" s="6"/>
      <c r="BY5" s="39">
        <f>BW5-BV5</f>
        <v>0</v>
      </c>
      <c r="BZ5" s="37" t="str">
        <f>TEXT(BY5,"H.MM")</f>
        <v>0.00</v>
      </c>
      <c r="CA5" s="38"/>
    </row>
    <row r="6" spans="1:79" x14ac:dyDescent="0.3">
      <c r="A6" s="7">
        <v>2</v>
      </c>
      <c r="B6" s="33">
        <v>0.22638888888888889</v>
      </c>
      <c r="C6" s="33">
        <v>0.43055555555555558</v>
      </c>
      <c r="D6" s="6"/>
      <c r="E6" s="39">
        <f t="shared" ref="E6:E35" si="0">C6-B6</f>
        <v>0.20416666666666669</v>
      </c>
      <c r="F6" s="37" t="str">
        <f t="shared" ref="F6:F35" si="1">TEXT(E6,"H.MM")</f>
        <v>4.54</v>
      </c>
      <c r="G6" s="38"/>
      <c r="H6" s="19"/>
      <c r="I6" s="10">
        <v>2</v>
      </c>
      <c r="J6" s="56">
        <v>0.21875</v>
      </c>
      <c r="K6" s="56">
        <v>0.43402777777777773</v>
      </c>
      <c r="L6" s="3"/>
      <c r="M6" s="57">
        <f t="shared" ref="M6:M19" si="2">K6-J6</f>
        <v>0.21527777777777773</v>
      </c>
      <c r="N6" s="58" t="str">
        <f t="shared" ref="N6:N28" si="3">TEXT(M6,"H.MM")</f>
        <v>5.10</v>
      </c>
      <c r="O6" s="59"/>
      <c r="P6" s="19"/>
      <c r="Q6" s="7">
        <v>2</v>
      </c>
      <c r="R6" s="33">
        <v>0.21875</v>
      </c>
      <c r="S6" s="33">
        <v>0.43611111111111112</v>
      </c>
      <c r="T6" s="6"/>
      <c r="U6" s="39">
        <f t="shared" ref="U6:U35" si="4">S6-R6</f>
        <v>0.21736111111111112</v>
      </c>
      <c r="V6" s="37" t="str">
        <f t="shared" ref="V6:V35" si="5">TEXT(U6,"H.MM")</f>
        <v>5.13</v>
      </c>
      <c r="W6" s="38"/>
      <c r="X6" s="27"/>
      <c r="Y6" s="7">
        <v>2</v>
      </c>
      <c r="Z6" s="33">
        <v>0.20833333333333334</v>
      </c>
      <c r="AA6" s="33">
        <v>0.44791666666666669</v>
      </c>
      <c r="AB6" s="6"/>
      <c r="AC6" s="39">
        <f t="shared" ref="AC6:AC14" si="6">AA6-Z6</f>
        <v>0.23958333333333334</v>
      </c>
      <c r="AD6" s="37" t="str">
        <f t="shared" ref="AD6:AD35" si="7">TEXT(AC6,"H.MM")</f>
        <v>5.45</v>
      </c>
      <c r="AE6" s="38"/>
      <c r="AF6" s="19"/>
      <c r="AG6" s="7">
        <v>2</v>
      </c>
      <c r="AH6" s="33">
        <v>0.33333333333333331</v>
      </c>
      <c r="AI6" s="33">
        <v>0.44791666666666669</v>
      </c>
      <c r="AJ6" s="6"/>
      <c r="AK6" s="39">
        <f t="shared" ref="AK6:AK14" si="8">AI6-AH6</f>
        <v>0.11458333333333337</v>
      </c>
      <c r="AL6" s="37" t="str">
        <f t="shared" ref="AL6:AL35" si="9">TEXT(AK6,"H.MM")</f>
        <v>2.45</v>
      </c>
      <c r="AM6" s="38"/>
      <c r="AN6" s="19"/>
      <c r="AO6" s="7">
        <v>2</v>
      </c>
      <c r="AP6" s="33">
        <v>0.20833333333333334</v>
      </c>
      <c r="AQ6" s="33">
        <v>0.44791666666666669</v>
      </c>
      <c r="AR6" s="6"/>
      <c r="AS6" s="39">
        <f t="shared" ref="AS6:AS14" si="10">AQ6-AP6</f>
        <v>0.23958333333333334</v>
      </c>
      <c r="AT6" s="37" t="str">
        <f t="shared" ref="AT6:AT35" si="11">TEXT(AS6,"H.MM")</f>
        <v>5.45</v>
      </c>
      <c r="AU6" s="38"/>
      <c r="AV6" s="21"/>
      <c r="AW6" s="5">
        <v>2</v>
      </c>
      <c r="AX6" s="41">
        <v>0.20833333333333334</v>
      </c>
      <c r="AY6" s="41">
        <v>0.4513888888888889</v>
      </c>
      <c r="AZ6" s="2"/>
      <c r="BA6" s="42">
        <f t="shared" ref="BA6:BA35" si="12">AY6-AX6</f>
        <v>0.24305555555555555</v>
      </c>
      <c r="BB6" s="43" t="str">
        <f t="shared" ref="BB6:BB35" si="13">TEXT(BA6,"H.MM")</f>
        <v>5.50</v>
      </c>
      <c r="BC6" s="38"/>
      <c r="BD6" s="19"/>
      <c r="BE6" s="7">
        <v>2</v>
      </c>
      <c r="BF6" s="33">
        <v>0.32291666666666669</v>
      </c>
      <c r="BG6" s="33">
        <v>0.4597222222222222</v>
      </c>
      <c r="BH6" s="6"/>
      <c r="BI6" s="39">
        <f t="shared" ref="BI6:BI35" si="14">BG6-BF6</f>
        <v>0.13680555555555551</v>
      </c>
      <c r="BJ6" s="37" t="str">
        <f t="shared" ref="BJ6:BJ35" si="15">TEXT(BI6,"H.MM")</f>
        <v>3.17</v>
      </c>
      <c r="BK6" s="38"/>
      <c r="BL6" s="19"/>
      <c r="BM6" s="7">
        <v>2</v>
      </c>
      <c r="BN6" s="33">
        <v>0.5</v>
      </c>
      <c r="BO6" s="33">
        <v>0.5</v>
      </c>
      <c r="BP6" s="6"/>
      <c r="BQ6" s="39">
        <f t="shared" ref="BQ6:BQ35" si="16">BO6-BN6</f>
        <v>0</v>
      </c>
      <c r="BR6" s="37" t="str">
        <f t="shared" ref="BR6:BR35" si="17">TEXT(BQ6,"H.MM")</f>
        <v>0.00</v>
      </c>
      <c r="BS6" s="38"/>
      <c r="BT6" s="19"/>
      <c r="BU6" s="7">
        <v>2</v>
      </c>
      <c r="BV6" s="33">
        <v>0.5</v>
      </c>
      <c r="BW6" s="33">
        <v>0.5</v>
      </c>
      <c r="BX6" s="6"/>
      <c r="BY6" s="39">
        <f t="shared" ref="BY6:BY35" si="18">BW6-BV6</f>
        <v>0</v>
      </c>
      <c r="BZ6" s="37" t="str">
        <f t="shared" ref="BZ6:BZ35" si="19">TEXT(BY6,"H.MM")</f>
        <v>0.00</v>
      </c>
      <c r="CA6" s="38"/>
    </row>
    <row r="7" spans="1:79" x14ac:dyDescent="0.3">
      <c r="A7" s="7">
        <v>3</v>
      </c>
      <c r="B7" s="33">
        <v>0.22916666666666666</v>
      </c>
      <c r="C7" s="33">
        <v>0.43055555555555558</v>
      </c>
      <c r="D7" s="6"/>
      <c r="E7" s="39">
        <f t="shared" si="0"/>
        <v>0.20138888888888892</v>
      </c>
      <c r="F7" s="37" t="str">
        <f t="shared" si="1"/>
        <v>4.50</v>
      </c>
      <c r="G7" s="38"/>
      <c r="H7" s="19"/>
      <c r="I7" s="10">
        <v>3</v>
      </c>
      <c r="J7" s="56">
        <v>0.5</v>
      </c>
      <c r="K7" s="56">
        <v>0.5</v>
      </c>
      <c r="L7" s="3"/>
      <c r="M7" s="57">
        <f t="shared" si="2"/>
        <v>0</v>
      </c>
      <c r="N7" s="58" t="str">
        <f t="shared" si="3"/>
        <v>0.00</v>
      </c>
      <c r="O7" s="59"/>
      <c r="P7" s="19"/>
      <c r="Q7" s="7">
        <v>3</v>
      </c>
      <c r="R7" s="33">
        <v>0.21875</v>
      </c>
      <c r="S7" s="33">
        <v>0.46180555555555558</v>
      </c>
      <c r="T7" s="6"/>
      <c r="U7" s="39">
        <f t="shared" si="4"/>
        <v>0.24305555555555558</v>
      </c>
      <c r="V7" s="37" t="str">
        <f t="shared" si="5"/>
        <v>5.50</v>
      </c>
      <c r="W7" s="38"/>
      <c r="X7" s="27"/>
      <c r="Y7" s="7">
        <v>3</v>
      </c>
      <c r="Z7" s="33">
        <v>0.20833333333333334</v>
      </c>
      <c r="AA7" s="33">
        <v>0.41666666666666669</v>
      </c>
      <c r="AB7" s="6"/>
      <c r="AC7" s="39">
        <f t="shared" si="6"/>
        <v>0.20833333333333334</v>
      </c>
      <c r="AD7" s="37" t="str">
        <f t="shared" si="7"/>
        <v>5.00</v>
      </c>
      <c r="AE7" s="38"/>
      <c r="AF7" s="19"/>
      <c r="AG7" s="7">
        <v>3</v>
      </c>
      <c r="AH7" s="33">
        <v>0.20833333333333334</v>
      </c>
      <c r="AI7" s="33">
        <v>0.46180555555555558</v>
      </c>
      <c r="AJ7" s="6"/>
      <c r="AK7" s="39">
        <f t="shared" si="8"/>
        <v>0.25347222222222221</v>
      </c>
      <c r="AL7" s="37" t="str">
        <f t="shared" si="9"/>
        <v>6.05</v>
      </c>
      <c r="AM7" s="38"/>
      <c r="AN7" s="19"/>
      <c r="AO7" s="7">
        <v>3</v>
      </c>
      <c r="AP7" s="33">
        <v>0.20833333333333334</v>
      </c>
      <c r="AQ7" s="33">
        <v>0.46180555555555558</v>
      </c>
      <c r="AR7" s="6"/>
      <c r="AS7" s="39">
        <f t="shared" si="10"/>
        <v>0.25347222222222221</v>
      </c>
      <c r="AT7" s="37" t="str">
        <f t="shared" si="11"/>
        <v>6.05</v>
      </c>
      <c r="AU7" s="38"/>
      <c r="AV7" s="21"/>
      <c r="AW7" s="5">
        <v>3</v>
      </c>
      <c r="AX7" s="41">
        <v>0.20833333333333334</v>
      </c>
      <c r="AY7" s="41">
        <v>0.46180555555555558</v>
      </c>
      <c r="AZ7" s="2"/>
      <c r="BA7" s="42">
        <f t="shared" si="12"/>
        <v>0.25347222222222221</v>
      </c>
      <c r="BB7" s="43" t="str">
        <f t="shared" si="13"/>
        <v>6.05</v>
      </c>
      <c r="BC7" s="38"/>
      <c r="BD7" s="19"/>
      <c r="BE7" s="7">
        <v>3</v>
      </c>
      <c r="BF7" s="33">
        <v>0.20486111111111113</v>
      </c>
      <c r="BG7" s="33">
        <v>0.4597222222222222</v>
      </c>
      <c r="BH7" s="6"/>
      <c r="BI7" s="39">
        <f t="shared" si="14"/>
        <v>0.25486111111111109</v>
      </c>
      <c r="BJ7" s="37" t="str">
        <f t="shared" si="15"/>
        <v>6.07</v>
      </c>
      <c r="BK7" s="38"/>
      <c r="BL7" s="19"/>
      <c r="BM7" s="7">
        <v>3</v>
      </c>
      <c r="BN7" s="33">
        <v>0.20833333333333334</v>
      </c>
      <c r="BO7" s="33">
        <v>0.45833333333333331</v>
      </c>
      <c r="BP7" s="6"/>
      <c r="BQ7" s="39">
        <f t="shared" si="16"/>
        <v>0.24999999999999997</v>
      </c>
      <c r="BR7" s="37" t="str">
        <f t="shared" si="17"/>
        <v>6.00</v>
      </c>
      <c r="BS7" s="38"/>
      <c r="BT7" s="19"/>
      <c r="BU7" s="7">
        <v>3</v>
      </c>
      <c r="BV7" s="33">
        <v>0.5</v>
      </c>
      <c r="BW7" s="33">
        <v>0.5</v>
      </c>
      <c r="BX7" s="6"/>
      <c r="BY7" s="39">
        <f t="shared" si="18"/>
        <v>0</v>
      </c>
      <c r="BZ7" s="37" t="str">
        <f t="shared" si="19"/>
        <v>0.00</v>
      </c>
      <c r="CA7" s="38"/>
    </row>
    <row r="8" spans="1:79" x14ac:dyDescent="0.3">
      <c r="A8" s="7">
        <v>4</v>
      </c>
      <c r="B8" s="33">
        <v>0.22569444444444445</v>
      </c>
      <c r="C8" s="33">
        <v>0.44791666666666669</v>
      </c>
      <c r="D8" s="6"/>
      <c r="E8" s="39">
        <f t="shared" si="0"/>
        <v>0.22222222222222224</v>
      </c>
      <c r="F8" s="37" t="str">
        <f t="shared" si="1"/>
        <v>5.20</v>
      </c>
      <c r="G8" s="38"/>
      <c r="H8" s="19"/>
      <c r="I8" s="10">
        <v>4</v>
      </c>
      <c r="J8" s="56">
        <v>0.5</v>
      </c>
      <c r="K8" s="56">
        <v>0.5</v>
      </c>
      <c r="L8" s="3"/>
      <c r="M8" s="57">
        <f t="shared" si="2"/>
        <v>0</v>
      </c>
      <c r="N8" s="58" t="str">
        <f t="shared" si="3"/>
        <v>0.00</v>
      </c>
      <c r="O8" s="59"/>
      <c r="P8" s="19"/>
      <c r="Q8" s="7">
        <v>4</v>
      </c>
      <c r="R8" s="33">
        <v>0.21875</v>
      </c>
      <c r="S8" s="33">
        <v>0.44097222222222227</v>
      </c>
      <c r="T8" s="6"/>
      <c r="U8" s="39">
        <f t="shared" si="4"/>
        <v>0.22222222222222227</v>
      </c>
      <c r="V8" s="37" t="str">
        <f t="shared" si="5"/>
        <v>5.20</v>
      </c>
      <c r="W8" s="38"/>
      <c r="X8" s="27"/>
      <c r="Y8" s="7">
        <v>4</v>
      </c>
      <c r="Z8" s="33">
        <v>0.22222222222222221</v>
      </c>
      <c r="AA8" s="33">
        <v>0.44097222222222227</v>
      </c>
      <c r="AB8" s="6"/>
      <c r="AC8" s="39">
        <f t="shared" si="6"/>
        <v>0.21875000000000006</v>
      </c>
      <c r="AD8" s="37" t="str">
        <f t="shared" si="7"/>
        <v>5.15</v>
      </c>
      <c r="AE8" s="38"/>
      <c r="AF8" s="19"/>
      <c r="AG8" s="7">
        <v>4</v>
      </c>
      <c r="AH8" s="33">
        <v>0.20138888888888887</v>
      </c>
      <c r="AI8" s="33">
        <v>0.44097222222222227</v>
      </c>
      <c r="AJ8" s="6"/>
      <c r="AK8" s="39">
        <f t="shared" si="8"/>
        <v>0.2395833333333334</v>
      </c>
      <c r="AL8" s="37" t="str">
        <f t="shared" si="9"/>
        <v>5.45</v>
      </c>
      <c r="AM8" s="38"/>
      <c r="AN8" s="19"/>
      <c r="AO8" s="7">
        <v>4</v>
      </c>
      <c r="AP8" s="33">
        <v>0.20138888888888887</v>
      </c>
      <c r="AQ8" s="33">
        <v>0.44097222222222227</v>
      </c>
      <c r="AR8" s="6"/>
      <c r="AS8" s="39">
        <f t="shared" si="10"/>
        <v>0.2395833333333334</v>
      </c>
      <c r="AT8" s="37" t="str">
        <f t="shared" si="11"/>
        <v>5.45</v>
      </c>
      <c r="AU8" s="38"/>
      <c r="AV8" s="21"/>
      <c r="AW8" s="10">
        <v>4</v>
      </c>
      <c r="AX8" s="56">
        <v>0.20833333333333334</v>
      </c>
      <c r="AY8" s="56">
        <v>0.45833333333333331</v>
      </c>
      <c r="AZ8" s="3"/>
      <c r="BA8" s="57">
        <f t="shared" si="12"/>
        <v>0.24999999999999997</v>
      </c>
      <c r="BB8" s="58" t="str">
        <f t="shared" si="13"/>
        <v>6.00</v>
      </c>
      <c r="BC8" s="38"/>
      <c r="BD8" s="19"/>
      <c r="BE8" s="7">
        <v>4</v>
      </c>
      <c r="BF8" s="33">
        <v>0.20694444444444446</v>
      </c>
      <c r="BG8" s="33">
        <v>0.45208333333333334</v>
      </c>
      <c r="BH8" s="6"/>
      <c r="BI8" s="39">
        <f t="shared" si="14"/>
        <v>0.24513888888888888</v>
      </c>
      <c r="BJ8" s="37" t="str">
        <f t="shared" si="15"/>
        <v>5.53</v>
      </c>
      <c r="BK8" s="38"/>
      <c r="BL8" s="19"/>
      <c r="BM8" s="7">
        <v>4</v>
      </c>
      <c r="BN8" s="33">
        <v>0.20833333333333334</v>
      </c>
      <c r="BO8" s="33">
        <v>0.45833333333333331</v>
      </c>
      <c r="BP8" s="6"/>
      <c r="BQ8" s="39">
        <f t="shared" si="16"/>
        <v>0.24999999999999997</v>
      </c>
      <c r="BR8" s="37" t="str">
        <f t="shared" si="17"/>
        <v>6.00</v>
      </c>
      <c r="BS8" s="38"/>
      <c r="BT8" s="19"/>
      <c r="BU8" s="7">
        <v>4</v>
      </c>
      <c r="BV8" s="33">
        <v>0.5</v>
      </c>
      <c r="BW8" s="33">
        <v>0.5</v>
      </c>
      <c r="BX8" s="6"/>
      <c r="BY8" s="39">
        <f t="shared" si="18"/>
        <v>0</v>
      </c>
      <c r="BZ8" s="37" t="str">
        <f t="shared" si="19"/>
        <v>0.00</v>
      </c>
      <c r="CA8" s="38"/>
    </row>
    <row r="9" spans="1:79" x14ac:dyDescent="0.3">
      <c r="A9" s="7">
        <v>5</v>
      </c>
      <c r="B9" s="33">
        <v>0.21875</v>
      </c>
      <c r="C9" s="33">
        <v>0.44097222222222227</v>
      </c>
      <c r="D9" s="6"/>
      <c r="E9" s="39">
        <f t="shared" si="0"/>
        <v>0.22222222222222227</v>
      </c>
      <c r="F9" s="37" t="str">
        <f t="shared" si="1"/>
        <v>5.20</v>
      </c>
      <c r="G9" s="38"/>
      <c r="H9" s="19"/>
      <c r="I9" s="10">
        <v>5</v>
      </c>
      <c r="J9" s="56">
        <v>0.5</v>
      </c>
      <c r="K9" s="56">
        <v>0.5</v>
      </c>
      <c r="L9" s="3"/>
      <c r="M9" s="57">
        <f t="shared" si="2"/>
        <v>0</v>
      </c>
      <c r="N9" s="58" t="str">
        <f t="shared" si="3"/>
        <v>0.00</v>
      </c>
      <c r="O9" s="59"/>
      <c r="P9" s="19"/>
      <c r="Q9" s="7">
        <v>5</v>
      </c>
      <c r="R9" s="33">
        <v>0.22569444444444445</v>
      </c>
      <c r="S9" s="33">
        <v>0.45833333333333331</v>
      </c>
      <c r="T9" s="6"/>
      <c r="U9" s="39">
        <f t="shared" si="4"/>
        <v>0.23263888888888887</v>
      </c>
      <c r="V9" s="37" t="str">
        <f t="shared" si="5"/>
        <v>5.35</v>
      </c>
      <c r="W9" s="38"/>
      <c r="X9" s="27"/>
      <c r="Y9" s="7">
        <v>5</v>
      </c>
      <c r="Z9" s="33">
        <v>0.20833333333333334</v>
      </c>
      <c r="AA9" s="33">
        <v>0.45833333333333331</v>
      </c>
      <c r="AB9" s="6"/>
      <c r="AC9" s="39">
        <f t="shared" si="6"/>
        <v>0.24999999999999997</v>
      </c>
      <c r="AD9" s="37" t="str">
        <f t="shared" si="7"/>
        <v>6.00</v>
      </c>
      <c r="AE9" s="38"/>
      <c r="AF9" s="19"/>
      <c r="AG9" s="7">
        <v>5</v>
      </c>
      <c r="AH9" s="33">
        <v>0.20833333333333334</v>
      </c>
      <c r="AI9" s="33">
        <v>0.45833333333333331</v>
      </c>
      <c r="AJ9" s="6"/>
      <c r="AK9" s="39">
        <f t="shared" si="8"/>
        <v>0.24999999999999997</v>
      </c>
      <c r="AL9" s="37" t="str">
        <f t="shared" si="9"/>
        <v>6.00</v>
      </c>
      <c r="AM9" s="38"/>
      <c r="AN9" s="19"/>
      <c r="AO9" s="7">
        <v>5</v>
      </c>
      <c r="AP9" s="33">
        <v>0.20833333333333334</v>
      </c>
      <c r="AQ9" s="33">
        <v>0.45833333333333331</v>
      </c>
      <c r="AR9" s="6"/>
      <c r="AS9" s="39">
        <f t="shared" si="10"/>
        <v>0.24999999999999997</v>
      </c>
      <c r="AT9" s="37" t="str">
        <f t="shared" si="11"/>
        <v>6.00</v>
      </c>
      <c r="AU9" s="38"/>
      <c r="AV9" s="21"/>
      <c r="AW9" s="10">
        <v>5</v>
      </c>
      <c r="AX9" s="56">
        <v>0.20833333333333334</v>
      </c>
      <c r="AY9" s="56">
        <v>0.45833333333333331</v>
      </c>
      <c r="AZ9" s="3"/>
      <c r="BA9" s="57">
        <f t="shared" si="12"/>
        <v>0.24999999999999997</v>
      </c>
      <c r="BB9" s="58" t="str">
        <f t="shared" si="13"/>
        <v>6.00</v>
      </c>
      <c r="BC9" s="38"/>
      <c r="BD9" s="19"/>
      <c r="BE9" s="7">
        <v>5</v>
      </c>
      <c r="BF9" s="33">
        <v>0.20972222222222223</v>
      </c>
      <c r="BG9" s="33">
        <v>0.45555555555555555</v>
      </c>
      <c r="BH9" s="6"/>
      <c r="BI9" s="39">
        <f t="shared" si="14"/>
        <v>0.24583333333333332</v>
      </c>
      <c r="BJ9" s="37" t="str">
        <f t="shared" si="15"/>
        <v>5.54</v>
      </c>
      <c r="BK9" s="38"/>
      <c r="BL9" s="19"/>
      <c r="BM9" s="7">
        <v>5</v>
      </c>
      <c r="BN9" s="33">
        <v>0.5</v>
      </c>
      <c r="BO9" s="33">
        <v>0.5</v>
      </c>
      <c r="BP9" s="6"/>
      <c r="BQ9" s="39">
        <f t="shared" si="16"/>
        <v>0</v>
      </c>
      <c r="BR9" s="37" t="str">
        <f t="shared" si="17"/>
        <v>0.00</v>
      </c>
      <c r="BS9" s="38"/>
      <c r="BT9" s="19"/>
      <c r="BU9" s="7">
        <v>5</v>
      </c>
      <c r="BV9" s="33">
        <v>0.5</v>
      </c>
      <c r="BW9" s="33">
        <v>0.5</v>
      </c>
      <c r="BX9" s="6"/>
      <c r="BY9" s="39">
        <f t="shared" si="18"/>
        <v>0</v>
      </c>
      <c r="BZ9" s="37" t="str">
        <f t="shared" si="19"/>
        <v>0.00</v>
      </c>
      <c r="CA9" s="38"/>
    </row>
    <row r="10" spans="1:79" x14ac:dyDescent="0.3">
      <c r="A10" s="7">
        <v>6</v>
      </c>
      <c r="B10" s="33">
        <v>0.22708333333333333</v>
      </c>
      <c r="C10" s="33">
        <v>0.4375</v>
      </c>
      <c r="D10" s="6"/>
      <c r="E10" s="39">
        <f t="shared" si="0"/>
        <v>0.21041666666666667</v>
      </c>
      <c r="F10" s="37" t="str">
        <f t="shared" si="1"/>
        <v>5.03</v>
      </c>
      <c r="G10" s="38"/>
      <c r="H10" s="19"/>
      <c r="I10" s="10">
        <v>6</v>
      </c>
      <c r="J10" s="56">
        <v>0.5</v>
      </c>
      <c r="K10" s="56">
        <v>0.5</v>
      </c>
      <c r="L10" s="3"/>
      <c r="M10" s="57">
        <f t="shared" si="2"/>
        <v>0</v>
      </c>
      <c r="N10" s="58" t="str">
        <f t="shared" si="3"/>
        <v>0.00</v>
      </c>
      <c r="O10" s="59"/>
      <c r="P10" s="19"/>
      <c r="Q10" s="7">
        <v>6</v>
      </c>
      <c r="R10" s="33">
        <v>0.20833333333333334</v>
      </c>
      <c r="S10" s="33">
        <v>0.45833333333333331</v>
      </c>
      <c r="T10" s="6"/>
      <c r="U10" s="39">
        <f t="shared" si="4"/>
        <v>0.24999999999999997</v>
      </c>
      <c r="V10" s="37" t="str">
        <f t="shared" si="5"/>
        <v>6.00</v>
      </c>
      <c r="W10" s="38"/>
      <c r="X10" s="27"/>
      <c r="Y10" s="7">
        <v>6</v>
      </c>
      <c r="Z10" s="33">
        <v>0.20833333333333334</v>
      </c>
      <c r="AA10" s="33">
        <v>0.4513888888888889</v>
      </c>
      <c r="AB10" s="6"/>
      <c r="AC10" s="39">
        <f t="shared" si="6"/>
        <v>0.24305555555555555</v>
      </c>
      <c r="AD10" s="37" t="str">
        <f t="shared" si="7"/>
        <v>5.50</v>
      </c>
      <c r="AE10" s="38"/>
      <c r="AF10" s="19"/>
      <c r="AG10" s="7">
        <v>6</v>
      </c>
      <c r="AH10" s="33">
        <v>0.20833333333333334</v>
      </c>
      <c r="AI10" s="33">
        <v>0.4513888888888889</v>
      </c>
      <c r="AJ10" s="6"/>
      <c r="AK10" s="39">
        <f t="shared" si="8"/>
        <v>0.24305555555555555</v>
      </c>
      <c r="AL10" s="37" t="str">
        <f t="shared" si="9"/>
        <v>5.50</v>
      </c>
      <c r="AM10" s="38"/>
      <c r="AN10" s="19"/>
      <c r="AO10" s="7">
        <v>6</v>
      </c>
      <c r="AP10" s="33">
        <v>0.20833333333333334</v>
      </c>
      <c r="AQ10" s="33">
        <v>0.4513888888888889</v>
      </c>
      <c r="AR10" s="6"/>
      <c r="AS10" s="39">
        <f t="shared" si="10"/>
        <v>0.24305555555555555</v>
      </c>
      <c r="AT10" s="37" t="str">
        <f t="shared" si="11"/>
        <v>5.50</v>
      </c>
      <c r="AU10" s="38"/>
      <c r="AV10" s="21"/>
      <c r="AW10" s="10">
        <v>6</v>
      </c>
      <c r="AX10" s="56">
        <v>0.20138888888888887</v>
      </c>
      <c r="AY10" s="56">
        <v>0.4201388888888889</v>
      </c>
      <c r="AZ10" s="3"/>
      <c r="BA10" s="57">
        <f t="shared" si="12"/>
        <v>0.21875000000000003</v>
      </c>
      <c r="BB10" s="58" t="str">
        <f t="shared" si="13"/>
        <v>5.15</v>
      </c>
      <c r="BC10" s="38"/>
      <c r="BD10" s="19"/>
      <c r="BE10" s="7">
        <v>6</v>
      </c>
      <c r="BF10" s="33">
        <v>0.21319444444444444</v>
      </c>
      <c r="BG10" s="33">
        <v>0.44930555555555557</v>
      </c>
      <c r="BH10" s="6"/>
      <c r="BI10" s="39">
        <f t="shared" si="14"/>
        <v>0.23611111111111113</v>
      </c>
      <c r="BJ10" s="37" t="str">
        <f t="shared" si="15"/>
        <v>5.40</v>
      </c>
      <c r="BK10" s="38"/>
      <c r="BL10" s="19"/>
      <c r="BM10" s="7">
        <v>6</v>
      </c>
      <c r="BN10" s="33">
        <v>0.5</v>
      </c>
      <c r="BO10" s="33">
        <v>0.5</v>
      </c>
      <c r="BP10" s="6"/>
      <c r="BQ10" s="39">
        <f t="shared" si="16"/>
        <v>0</v>
      </c>
      <c r="BR10" s="37" t="str">
        <f t="shared" si="17"/>
        <v>0.00</v>
      </c>
      <c r="BS10" s="38"/>
      <c r="BT10" s="19"/>
      <c r="BU10" s="7">
        <v>6</v>
      </c>
      <c r="BV10" s="33">
        <v>0.5</v>
      </c>
      <c r="BW10" s="33">
        <v>0.5</v>
      </c>
      <c r="BX10" s="6"/>
      <c r="BY10" s="39">
        <f t="shared" si="18"/>
        <v>0</v>
      </c>
      <c r="BZ10" s="37" t="str">
        <f t="shared" si="19"/>
        <v>0.00</v>
      </c>
      <c r="CA10" s="38"/>
    </row>
    <row r="11" spans="1:79" x14ac:dyDescent="0.3">
      <c r="A11" s="7">
        <v>7</v>
      </c>
      <c r="B11" s="33">
        <v>0.22569444444444445</v>
      </c>
      <c r="C11" s="33">
        <v>0.44444444444444442</v>
      </c>
      <c r="D11" s="6"/>
      <c r="E11" s="39">
        <f t="shared" si="0"/>
        <v>0.21874999999999997</v>
      </c>
      <c r="F11" s="37" t="str">
        <f t="shared" si="1"/>
        <v>5.15</v>
      </c>
      <c r="G11" s="38"/>
      <c r="H11" s="19"/>
      <c r="I11" s="10">
        <v>7</v>
      </c>
      <c r="J11" s="56">
        <v>0.5</v>
      </c>
      <c r="K11" s="56">
        <v>0.5</v>
      </c>
      <c r="L11" s="3"/>
      <c r="M11" s="57">
        <f t="shared" si="2"/>
        <v>0</v>
      </c>
      <c r="N11" s="58" t="str">
        <f t="shared" si="3"/>
        <v>0.00</v>
      </c>
      <c r="O11" s="59"/>
      <c r="P11" s="19"/>
      <c r="Q11" s="7">
        <v>7</v>
      </c>
      <c r="R11" s="33">
        <v>0.20833333333333334</v>
      </c>
      <c r="S11" s="33">
        <v>0.45833333333333331</v>
      </c>
      <c r="T11" s="6"/>
      <c r="U11" s="39">
        <f t="shared" si="4"/>
        <v>0.24999999999999997</v>
      </c>
      <c r="V11" s="37" t="str">
        <f t="shared" si="5"/>
        <v>6.00</v>
      </c>
      <c r="W11" s="38"/>
      <c r="X11" s="27"/>
      <c r="Y11" s="7">
        <v>7</v>
      </c>
      <c r="Z11" s="33">
        <v>0.20833333333333334</v>
      </c>
      <c r="AA11" s="33">
        <v>0.44444444444444442</v>
      </c>
      <c r="AB11" s="6"/>
      <c r="AC11" s="39">
        <f t="shared" si="6"/>
        <v>0.23611111111111108</v>
      </c>
      <c r="AD11" s="37" t="str">
        <f t="shared" si="7"/>
        <v>5.40</v>
      </c>
      <c r="AE11" s="38"/>
      <c r="AF11" s="19"/>
      <c r="AG11" s="7">
        <v>7</v>
      </c>
      <c r="AH11" s="33">
        <v>0.20833333333333334</v>
      </c>
      <c r="AI11" s="33">
        <v>0.45833333333333331</v>
      </c>
      <c r="AJ11" s="6"/>
      <c r="AK11" s="39">
        <f t="shared" si="8"/>
        <v>0.24999999999999997</v>
      </c>
      <c r="AL11" s="37" t="str">
        <f t="shared" si="9"/>
        <v>6.00</v>
      </c>
      <c r="AM11" s="38"/>
      <c r="AN11" s="19"/>
      <c r="AO11" s="7">
        <v>7</v>
      </c>
      <c r="AP11" s="33">
        <v>0.20833333333333334</v>
      </c>
      <c r="AQ11" s="33">
        <v>0.45833333333333331</v>
      </c>
      <c r="AR11" s="6"/>
      <c r="AS11" s="39">
        <f t="shared" si="10"/>
        <v>0.24999999999999997</v>
      </c>
      <c r="AT11" s="37" t="str">
        <f t="shared" si="11"/>
        <v>6.00</v>
      </c>
      <c r="AU11" s="38"/>
      <c r="AV11" s="21"/>
      <c r="AW11" s="5">
        <v>7</v>
      </c>
      <c r="AX11" s="41">
        <v>0.20833333333333334</v>
      </c>
      <c r="AY11" s="41">
        <v>0.45833333333333331</v>
      </c>
      <c r="AZ11" s="2"/>
      <c r="BA11" s="42">
        <f t="shared" si="12"/>
        <v>0.24999999999999997</v>
      </c>
      <c r="BB11" s="43" t="str">
        <f t="shared" si="13"/>
        <v>6.00</v>
      </c>
      <c r="BC11" s="38"/>
      <c r="BD11" s="19"/>
      <c r="BE11" s="7">
        <v>7</v>
      </c>
      <c r="BF11" s="33">
        <v>0.22430555555555556</v>
      </c>
      <c r="BG11" s="33">
        <v>0.39513888888888887</v>
      </c>
      <c r="BH11" s="6"/>
      <c r="BI11" s="39">
        <f t="shared" si="14"/>
        <v>0.17083333333333331</v>
      </c>
      <c r="BJ11" s="37" t="str">
        <f t="shared" si="15"/>
        <v>4.06</v>
      </c>
      <c r="BK11" s="38"/>
      <c r="BL11" s="19"/>
      <c r="BM11" s="7">
        <v>7</v>
      </c>
      <c r="BN11" s="33">
        <v>0.5</v>
      </c>
      <c r="BO11" s="33">
        <v>0.5</v>
      </c>
      <c r="BP11" s="6"/>
      <c r="BQ11" s="39">
        <f t="shared" si="16"/>
        <v>0</v>
      </c>
      <c r="BR11" s="37" t="str">
        <f t="shared" si="17"/>
        <v>0.00</v>
      </c>
      <c r="BS11" s="38"/>
      <c r="BT11" s="19"/>
      <c r="BU11" s="7">
        <v>7</v>
      </c>
      <c r="BV11" s="33">
        <v>0.5</v>
      </c>
      <c r="BW11" s="33">
        <v>0.5</v>
      </c>
      <c r="BX11" s="6"/>
      <c r="BY11" s="39">
        <f t="shared" si="18"/>
        <v>0</v>
      </c>
      <c r="BZ11" s="37" t="str">
        <f t="shared" si="19"/>
        <v>0.00</v>
      </c>
      <c r="CA11" s="38"/>
    </row>
    <row r="12" spans="1:79" x14ac:dyDescent="0.3">
      <c r="A12" s="7">
        <v>8</v>
      </c>
      <c r="B12" s="33">
        <v>0.22222222222222221</v>
      </c>
      <c r="C12" s="33">
        <v>0.45833333333333331</v>
      </c>
      <c r="D12" s="6"/>
      <c r="E12" s="39">
        <f t="shared" si="0"/>
        <v>0.2361111111111111</v>
      </c>
      <c r="F12" s="37" t="str">
        <f t="shared" si="1"/>
        <v>5.40</v>
      </c>
      <c r="G12" s="18"/>
      <c r="H12" s="19"/>
      <c r="I12" s="10">
        <v>8</v>
      </c>
      <c r="J12" s="56">
        <v>0.23263888888888887</v>
      </c>
      <c r="K12" s="56">
        <v>0.44444444444444442</v>
      </c>
      <c r="L12" s="3"/>
      <c r="M12" s="57">
        <f t="shared" si="2"/>
        <v>0.21180555555555555</v>
      </c>
      <c r="N12" s="58" t="str">
        <f t="shared" si="3"/>
        <v>5.05</v>
      </c>
      <c r="O12" s="20"/>
      <c r="P12" s="19"/>
      <c r="Q12" s="5">
        <v>8</v>
      </c>
      <c r="R12" s="41">
        <v>0.22916666666666666</v>
      </c>
      <c r="S12" s="41">
        <v>0.44444444444444442</v>
      </c>
      <c r="T12" s="2"/>
      <c r="U12" s="42">
        <f t="shared" si="4"/>
        <v>0.21527777777777776</v>
      </c>
      <c r="V12" s="43" t="str">
        <f t="shared" si="5"/>
        <v>5.10</v>
      </c>
      <c r="W12" s="18"/>
      <c r="X12" s="27"/>
      <c r="Y12" s="7">
        <v>8</v>
      </c>
      <c r="Z12" s="33">
        <v>0.5</v>
      </c>
      <c r="AA12" s="33">
        <v>0.5</v>
      </c>
      <c r="AB12" s="6"/>
      <c r="AC12" s="39">
        <f t="shared" si="6"/>
        <v>0</v>
      </c>
      <c r="AD12" s="37" t="str">
        <f t="shared" si="7"/>
        <v>0.00</v>
      </c>
      <c r="AE12" s="18"/>
      <c r="AF12" s="19"/>
      <c r="AG12" s="7">
        <v>8</v>
      </c>
      <c r="AH12" s="33">
        <v>0.20833333333333334</v>
      </c>
      <c r="AI12" s="33">
        <v>0.44444444444444442</v>
      </c>
      <c r="AJ12" s="6"/>
      <c r="AK12" s="39">
        <f t="shared" si="8"/>
        <v>0.23611111111111108</v>
      </c>
      <c r="AL12" s="37" t="str">
        <f t="shared" si="9"/>
        <v>5.40</v>
      </c>
      <c r="AM12" s="18"/>
      <c r="AN12" s="19"/>
      <c r="AO12" s="7">
        <v>8</v>
      </c>
      <c r="AP12" s="33">
        <v>0.20833333333333334</v>
      </c>
      <c r="AQ12" s="33">
        <v>0.44444444444444442</v>
      </c>
      <c r="AR12" s="6"/>
      <c r="AS12" s="39">
        <f t="shared" si="10"/>
        <v>0.23611111111111108</v>
      </c>
      <c r="AT12" s="37" t="str">
        <f t="shared" si="11"/>
        <v>5.40</v>
      </c>
      <c r="AU12" s="18"/>
      <c r="AV12" s="21"/>
      <c r="AW12" s="10">
        <v>8</v>
      </c>
      <c r="AX12" s="56">
        <v>0.20833333333333334</v>
      </c>
      <c r="AY12" s="56">
        <v>0.4513888888888889</v>
      </c>
      <c r="AZ12" s="3"/>
      <c r="BA12" s="57">
        <f t="shared" si="12"/>
        <v>0.24305555555555555</v>
      </c>
      <c r="BB12" s="58" t="str">
        <f t="shared" si="13"/>
        <v>5.50</v>
      </c>
      <c r="BC12" s="18"/>
      <c r="BD12" s="19"/>
      <c r="BE12" s="7">
        <v>8</v>
      </c>
      <c r="BF12" s="33">
        <v>0.22222222222222221</v>
      </c>
      <c r="BG12" s="33">
        <v>0.39444444444444443</v>
      </c>
      <c r="BH12" s="6"/>
      <c r="BI12" s="39">
        <f t="shared" si="14"/>
        <v>0.17222222222222222</v>
      </c>
      <c r="BJ12" s="37" t="str">
        <f t="shared" si="15"/>
        <v>4.08</v>
      </c>
      <c r="BK12" s="18"/>
      <c r="BL12" s="19"/>
      <c r="BM12" s="7">
        <v>8</v>
      </c>
      <c r="BN12" s="33">
        <v>0.5</v>
      </c>
      <c r="BO12" s="33">
        <v>0.5</v>
      </c>
      <c r="BP12" s="6"/>
      <c r="BQ12" s="39">
        <f t="shared" si="16"/>
        <v>0</v>
      </c>
      <c r="BR12" s="37" t="str">
        <f t="shared" si="17"/>
        <v>0.00</v>
      </c>
      <c r="BS12" s="18"/>
      <c r="BT12" s="19"/>
      <c r="BU12" s="7">
        <v>8</v>
      </c>
      <c r="BV12" s="33">
        <v>0.5</v>
      </c>
      <c r="BW12" s="33">
        <v>0.5</v>
      </c>
      <c r="BX12" s="6"/>
      <c r="BY12" s="39">
        <f t="shared" si="18"/>
        <v>0</v>
      </c>
      <c r="BZ12" s="37" t="str">
        <f t="shared" si="19"/>
        <v>0.00</v>
      </c>
      <c r="CA12" s="18"/>
    </row>
    <row r="13" spans="1:79" x14ac:dyDescent="0.3">
      <c r="A13" s="7">
        <v>9</v>
      </c>
      <c r="B13" s="33">
        <v>0.22569444444444445</v>
      </c>
      <c r="C13" s="33">
        <v>0.44444444444444442</v>
      </c>
      <c r="D13" s="6"/>
      <c r="E13" s="39">
        <f t="shared" si="0"/>
        <v>0.21874999999999997</v>
      </c>
      <c r="F13" s="37" t="str">
        <f t="shared" si="1"/>
        <v>5.15</v>
      </c>
      <c r="G13" s="18"/>
      <c r="H13" s="19"/>
      <c r="I13" s="10">
        <v>9</v>
      </c>
      <c r="J13" s="56">
        <v>0.22916666666666666</v>
      </c>
      <c r="K13" s="56">
        <v>0.44097222222222227</v>
      </c>
      <c r="L13" s="3"/>
      <c r="M13" s="57">
        <f t="shared" si="2"/>
        <v>0.21180555555555561</v>
      </c>
      <c r="N13" s="58" t="str">
        <f t="shared" si="3"/>
        <v>5.05</v>
      </c>
      <c r="O13" s="20"/>
      <c r="P13" s="19"/>
      <c r="Q13" s="7">
        <v>9</v>
      </c>
      <c r="R13" s="33">
        <v>0.27083333333333331</v>
      </c>
      <c r="S13" s="33">
        <v>0.44236111111111115</v>
      </c>
      <c r="T13" s="6"/>
      <c r="U13" s="39">
        <f t="shared" si="4"/>
        <v>0.17152777777777783</v>
      </c>
      <c r="V13" s="37" t="str">
        <f t="shared" si="5"/>
        <v>4.07</v>
      </c>
      <c r="W13" s="18"/>
      <c r="X13" s="27"/>
      <c r="Y13" s="7">
        <v>9</v>
      </c>
      <c r="Z13" s="33">
        <v>0.20833333333333334</v>
      </c>
      <c r="AA13" s="33">
        <v>0.44097222222222227</v>
      </c>
      <c r="AB13" s="6"/>
      <c r="AC13" s="39">
        <f t="shared" si="6"/>
        <v>0.23263888888888892</v>
      </c>
      <c r="AD13" s="37" t="str">
        <f t="shared" si="7"/>
        <v>5.35</v>
      </c>
      <c r="AE13" s="18"/>
      <c r="AF13" s="19"/>
      <c r="AG13" s="7">
        <v>9</v>
      </c>
      <c r="AH13" s="33">
        <v>0.20833333333333334</v>
      </c>
      <c r="AI13" s="33">
        <v>0.3923611111111111</v>
      </c>
      <c r="AJ13" s="6"/>
      <c r="AK13" s="39">
        <f t="shared" si="8"/>
        <v>0.18402777777777776</v>
      </c>
      <c r="AL13" s="37" t="str">
        <f t="shared" si="9"/>
        <v>4.25</v>
      </c>
      <c r="AM13" s="18"/>
      <c r="AN13" s="19"/>
      <c r="AO13" s="7">
        <v>9</v>
      </c>
      <c r="AP13" s="33">
        <v>0.21875</v>
      </c>
      <c r="AQ13" s="33">
        <v>0.44097222222222227</v>
      </c>
      <c r="AR13" s="6"/>
      <c r="AS13" s="39">
        <f t="shared" si="10"/>
        <v>0.22222222222222227</v>
      </c>
      <c r="AT13" s="37" t="str">
        <f t="shared" si="11"/>
        <v>5.20</v>
      </c>
      <c r="AU13" s="18"/>
      <c r="AV13" s="21"/>
      <c r="AW13" s="10">
        <v>9</v>
      </c>
      <c r="AX13" s="56">
        <v>6.25E-2</v>
      </c>
      <c r="AY13" s="56">
        <v>0.4513888888888889</v>
      </c>
      <c r="AZ13" s="3"/>
      <c r="BA13" s="57">
        <f t="shared" si="12"/>
        <v>0.3888888888888889</v>
      </c>
      <c r="BB13" s="58" t="str">
        <f t="shared" si="13"/>
        <v>9.20</v>
      </c>
      <c r="BC13" s="18"/>
      <c r="BD13" s="19"/>
      <c r="BE13" s="7">
        <v>9</v>
      </c>
      <c r="BF13" s="33">
        <v>0.21805555555555556</v>
      </c>
      <c r="BG13" s="33">
        <v>0.45208333333333334</v>
      </c>
      <c r="BH13" s="6"/>
      <c r="BI13" s="39">
        <f t="shared" si="14"/>
        <v>0.23402777777777778</v>
      </c>
      <c r="BJ13" s="37" t="str">
        <f t="shared" si="15"/>
        <v>5.37</v>
      </c>
      <c r="BK13" s="18"/>
      <c r="BL13" s="19"/>
      <c r="BM13" s="7">
        <v>9</v>
      </c>
      <c r="BN13" s="33">
        <v>0.5</v>
      </c>
      <c r="BO13" s="33">
        <v>0.5</v>
      </c>
      <c r="BP13" s="6"/>
      <c r="BQ13" s="39">
        <f t="shared" si="16"/>
        <v>0</v>
      </c>
      <c r="BR13" s="37" t="str">
        <f t="shared" si="17"/>
        <v>0.00</v>
      </c>
      <c r="BS13" s="18"/>
      <c r="BT13" s="19"/>
      <c r="BU13" s="7">
        <v>9</v>
      </c>
      <c r="BV13" s="33">
        <v>0.5</v>
      </c>
      <c r="BW13" s="33">
        <v>0.5</v>
      </c>
      <c r="BX13" s="6"/>
      <c r="BY13" s="39">
        <f t="shared" si="18"/>
        <v>0</v>
      </c>
      <c r="BZ13" s="37" t="str">
        <f t="shared" si="19"/>
        <v>0.00</v>
      </c>
      <c r="CA13" s="18"/>
    </row>
    <row r="14" spans="1:79" x14ac:dyDescent="0.3">
      <c r="A14" s="7">
        <v>10</v>
      </c>
      <c r="B14" s="33">
        <v>0.22638888888888889</v>
      </c>
      <c r="C14" s="33">
        <v>0.44444444444444442</v>
      </c>
      <c r="D14" s="6"/>
      <c r="E14" s="39">
        <f t="shared" si="0"/>
        <v>0.21805555555555553</v>
      </c>
      <c r="F14" s="37" t="str">
        <f t="shared" si="1"/>
        <v>5.14</v>
      </c>
      <c r="G14" s="18"/>
      <c r="H14" s="19"/>
      <c r="I14" s="10">
        <v>10</v>
      </c>
      <c r="J14" s="56">
        <v>0.23263888888888887</v>
      </c>
      <c r="K14" s="56">
        <v>0.44097222222222227</v>
      </c>
      <c r="L14" s="3"/>
      <c r="M14" s="57">
        <f t="shared" si="2"/>
        <v>0.2083333333333334</v>
      </c>
      <c r="N14" s="58" t="str">
        <f t="shared" si="3"/>
        <v>5.00</v>
      </c>
      <c r="O14" s="20"/>
      <c r="P14" s="19"/>
      <c r="Q14" s="7">
        <v>10</v>
      </c>
      <c r="R14" s="33">
        <v>0.23263888888888887</v>
      </c>
      <c r="S14" s="33">
        <v>0.44097222222222227</v>
      </c>
      <c r="T14" s="6"/>
      <c r="U14" s="39">
        <f t="shared" si="4"/>
        <v>0.2083333333333334</v>
      </c>
      <c r="V14" s="37" t="str">
        <f t="shared" si="5"/>
        <v>5.00</v>
      </c>
      <c r="W14" s="18"/>
      <c r="X14" s="27"/>
      <c r="Y14" s="7">
        <v>10</v>
      </c>
      <c r="Z14" s="33">
        <v>0.20833333333333334</v>
      </c>
      <c r="AA14" s="33">
        <v>0.44444444444444442</v>
      </c>
      <c r="AB14" s="6"/>
      <c r="AC14" s="39">
        <f t="shared" si="6"/>
        <v>0.23611111111111108</v>
      </c>
      <c r="AD14" s="37" t="str">
        <f t="shared" si="7"/>
        <v>5.40</v>
      </c>
      <c r="AE14" s="18"/>
      <c r="AF14" s="19"/>
      <c r="AG14" s="7">
        <v>10</v>
      </c>
      <c r="AH14" s="33">
        <v>0.20833333333333334</v>
      </c>
      <c r="AI14" s="33">
        <v>0.44444444444444442</v>
      </c>
      <c r="AJ14" s="6"/>
      <c r="AK14" s="39">
        <f t="shared" si="8"/>
        <v>0.23611111111111108</v>
      </c>
      <c r="AL14" s="37" t="str">
        <f t="shared" si="9"/>
        <v>5.40</v>
      </c>
      <c r="AM14" s="18"/>
      <c r="AN14" s="19"/>
      <c r="AO14" s="7">
        <v>10</v>
      </c>
      <c r="AP14" s="33">
        <v>0.20833333333333334</v>
      </c>
      <c r="AQ14" s="33">
        <v>0.44444444444444442</v>
      </c>
      <c r="AR14" s="6"/>
      <c r="AS14" s="39">
        <f t="shared" si="10"/>
        <v>0.23611111111111108</v>
      </c>
      <c r="AT14" s="37" t="str">
        <f t="shared" si="11"/>
        <v>5.40</v>
      </c>
      <c r="AU14" s="18"/>
      <c r="AV14" s="21"/>
      <c r="AW14" s="5">
        <v>10</v>
      </c>
      <c r="AX14" s="41">
        <v>0.22916666666666666</v>
      </c>
      <c r="AY14" s="41">
        <v>0.4513888888888889</v>
      </c>
      <c r="AZ14" s="2"/>
      <c r="BA14" s="42">
        <f t="shared" si="12"/>
        <v>0.22222222222222224</v>
      </c>
      <c r="BB14" s="43" t="str">
        <f t="shared" si="13"/>
        <v>5.20</v>
      </c>
      <c r="BC14" s="18"/>
      <c r="BD14" s="19"/>
      <c r="BE14" s="7">
        <v>10</v>
      </c>
      <c r="BF14" s="33">
        <v>0.20972222222222223</v>
      </c>
      <c r="BG14" s="33">
        <v>0.3972222222222222</v>
      </c>
      <c r="BH14" s="6"/>
      <c r="BI14" s="39">
        <f t="shared" si="14"/>
        <v>0.18749999999999997</v>
      </c>
      <c r="BJ14" s="37" t="str">
        <f t="shared" si="15"/>
        <v>4.30</v>
      </c>
      <c r="BK14" s="18"/>
      <c r="BL14" s="19"/>
      <c r="BM14" s="7">
        <v>10</v>
      </c>
      <c r="BN14" s="33">
        <v>0.5</v>
      </c>
      <c r="BO14" s="33">
        <v>0.5</v>
      </c>
      <c r="BP14" s="6"/>
      <c r="BQ14" s="39">
        <f t="shared" si="16"/>
        <v>0</v>
      </c>
      <c r="BR14" s="37" t="str">
        <f t="shared" si="17"/>
        <v>0.00</v>
      </c>
      <c r="BS14" s="18"/>
      <c r="BT14" s="19"/>
      <c r="BU14" s="7">
        <v>10</v>
      </c>
      <c r="BV14" s="33">
        <v>0.22916666666666666</v>
      </c>
      <c r="BW14" s="33">
        <v>0.44444444444444442</v>
      </c>
      <c r="BX14" s="6"/>
      <c r="BY14" s="39">
        <f t="shared" si="18"/>
        <v>0.21527777777777776</v>
      </c>
      <c r="BZ14" s="37" t="str">
        <f t="shared" si="19"/>
        <v>5.10</v>
      </c>
      <c r="CA14" s="18"/>
    </row>
    <row r="15" spans="1:79" x14ac:dyDescent="0.3">
      <c r="A15" s="7">
        <v>11</v>
      </c>
      <c r="B15" s="33">
        <v>0.41666666666666669</v>
      </c>
      <c r="C15" s="33">
        <v>0.94236111111111109</v>
      </c>
      <c r="D15" s="6"/>
      <c r="E15" s="39">
        <f t="shared" si="0"/>
        <v>0.52569444444444446</v>
      </c>
      <c r="F15" s="37" t="str">
        <f t="shared" si="1"/>
        <v>12.37</v>
      </c>
      <c r="G15" s="18"/>
      <c r="H15" s="19"/>
      <c r="I15" s="5">
        <v>11</v>
      </c>
      <c r="J15" s="41">
        <v>0.22222222222222221</v>
      </c>
      <c r="K15" s="41">
        <v>0.45833333333333331</v>
      </c>
      <c r="L15" s="2"/>
      <c r="M15" s="42">
        <f t="shared" si="2"/>
        <v>0.2361111111111111</v>
      </c>
      <c r="N15" s="43" t="str">
        <f t="shared" si="3"/>
        <v>5.40</v>
      </c>
      <c r="O15" s="20"/>
      <c r="P15" s="19"/>
      <c r="Q15" s="5">
        <v>11</v>
      </c>
      <c r="R15" s="41">
        <v>0.5</v>
      </c>
      <c r="S15" s="41">
        <v>0.5</v>
      </c>
      <c r="T15" s="2"/>
      <c r="U15" s="42">
        <f>S15-R15</f>
        <v>0</v>
      </c>
      <c r="V15" s="43" t="str">
        <f t="shared" si="5"/>
        <v>0.00</v>
      </c>
      <c r="W15" s="18"/>
      <c r="X15" s="27"/>
      <c r="Y15" s="7">
        <v>11</v>
      </c>
      <c r="Z15" s="33">
        <v>0.20833333333333334</v>
      </c>
      <c r="AA15" s="33">
        <v>0.45833333333333331</v>
      </c>
      <c r="AB15" s="6"/>
      <c r="AC15" s="39">
        <f>AA15-Z15</f>
        <v>0.24999999999999997</v>
      </c>
      <c r="AD15" s="37" t="str">
        <f t="shared" si="7"/>
        <v>6.00</v>
      </c>
      <c r="AE15" s="18"/>
      <c r="AF15" s="19"/>
      <c r="AG15" s="7">
        <v>11</v>
      </c>
      <c r="AH15" s="33">
        <v>0.20833333333333334</v>
      </c>
      <c r="AI15" s="33">
        <v>0.45833333333333331</v>
      </c>
      <c r="AJ15" s="6"/>
      <c r="AK15" s="39">
        <f>AI15-AH15</f>
        <v>0.24999999999999997</v>
      </c>
      <c r="AL15" s="37" t="str">
        <f t="shared" si="9"/>
        <v>6.00</v>
      </c>
      <c r="AM15" s="18"/>
      <c r="AN15" s="19"/>
      <c r="AO15" s="7">
        <v>11</v>
      </c>
      <c r="AP15" s="33">
        <v>0.20833333333333334</v>
      </c>
      <c r="AQ15" s="33">
        <v>0.45833333333333331</v>
      </c>
      <c r="AR15" s="6"/>
      <c r="AS15" s="39">
        <f>AQ15-AP15</f>
        <v>0.24999999999999997</v>
      </c>
      <c r="AT15" s="37" t="str">
        <f t="shared" si="11"/>
        <v>6.00</v>
      </c>
      <c r="AU15" s="18"/>
      <c r="AV15" s="21"/>
      <c r="AW15" s="5">
        <v>11</v>
      </c>
      <c r="AX15" s="41">
        <v>0.20833333333333334</v>
      </c>
      <c r="AY15" s="41">
        <v>0.45833333333333331</v>
      </c>
      <c r="AZ15" s="6"/>
      <c r="BA15" s="39">
        <f t="shared" si="12"/>
        <v>0.24999999999999997</v>
      </c>
      <c r="BB15" s="37" t="str">
        <f t="shared" si="13"/>
        <v>6.00</v>
      </c>
      <c r="BC15" s="18"/>
      <c r="BD15" s="19"/>
      <c r="BE15" s="7">
        <v>11</v>
      </c>
      <c r="BF15" s="33">
        <v>0.5</v>
      </c>
      <c r="BG15" s="33">
        <v>0.5</v>
      </c>
      <c r="BH15" s="6"/>
      <c r="BI15" s="39">
        <f t="shared" si="14"/>
        <v>0</v>
      </c>
      <c r="BJ15" s="37" t="str">
        <f t="shared" si="15"/>
        <v>0.00</v>
      </c>
      <c r="BK15" s="18"/>
      <c r="BL15" s="19"/>
      <c r="BM15" s="7">
        <v>11</v>
      </c>
      <c r="BN15" s="33">
        <v>0.5</v>
      </c>
      <c r="BO15" s="33">
        <v>0.5</v>
      </c>
      <c r="BP15" s="6"/>
      <c r="BQ15" s="39">
        <f t="shared" si="16"/>
        <v>0</v>
      </c>
      <c r="BR15" s="37" t="str">
        <f t="shared" si="17"/>
        <v>0.00</v>
      </c>
      <c r="BS15" s="18"/>
      <c r="BT15" s="19"/>
      <c r="BU15" s="7">
        <v>11</v>
      </c>
      <c r="BV15" s="33">
        <v>0.23263888888888887</v>
      </c>
      <c r="BW15" s="33">
        <v>0.4548611111111111</v>
      </c>
      <c r="BX15" s="6"/>
      <c r="BY15" s="39">
        <f t="shared" si="18"/>
        <v>0.22222222222222224</v>
      </c>
      <c r="BZ15" s="37" t="str">
        <f t="shared" si="19"/>
        <v>5.20</v>
      </c>
      <c r="CA15" s="18"/>
    </row>
    <row r="16" spans="1:79" x14ac:dyDescent="0.3">
      <c r="A16" s="50">
        <v>12</v>
      </c>
      <c r="B16" s="51">
        <v>0.4236111111111111</v>
      </c>
      <c r="C16" s="51">
        <v>0.93472222222222223</v>
      </c>
      <c r="D16" s="52"/>
      <c r="E16" s="53">
        <f t="shared" si="0"/>
        <v>0.51111111111111107</v>
      </c>
      <c r="F16" s="54" t="str">
        <f t="shared" si="1"/>
        <v>12.16</v>
      </c>
      <c r="G16" s="18"/>
      <c r="H16" s="19"/>
      <c r="I16" s="50">
        <v>12</v>
      </c>
      <c r="J16" s="51">
        <v>0.23263888888888887</v>
      </c>
      <c r="K16" s="51">
        <v>0.45833333333333331</v>
      </c>
      <c r="L16" s="52"/>
      <c r="M16" s="53">
        <f t="shared" si="2"/>
        <v>0.22569444444444445</v>
      </c>
      <c r="N16" s="54" t="str">
        <f t="shared" si="3"/>
        <v>5.25</v>
      </c>
      <c r="O16" s="20"/>
      <c r="P16" s="19"/>
      <c r="Q16" s="7">
        <v>12</v>
      </c>
      <c r="R16" s="33">
        <v>0.23263888888888887</v>
      </c>
      <c r="S16" s="33">
        <v>0.45833333333333331</v>
      </c>
      <c r="T16" s="6"/>
      <c r="U16" s="39">
        <f t="shared" ref="U16:U17" si="20">S16-R16</f>
        <v>0.22569444444444445</v>
      </c>
      <c r="V16" s="37" t="str">
        <f t="shared" si="5"/>
        <v>5.25</v>
      </c>
      <c r="W16" s="18"/>
      <c r="X16" s="27"/>
      <c r="Y16" s="7">
        <v>12</v>
      </c>
      <c r="Z16" s="33">
        <v>0.20833333333333334</v>
      </c>
      <c r="AA16" s="33">
        <v>0.45833333333333331</v>
      </c>
      <c r="AB16" s="6"/>
      <c r="AC16" s="39">
        <f t="shared" ref="AC16:AC35" si="21">AA16-Z16</f>
        <v>0.24999999999999997</v>
      </c>
      <c r="AD16" s="37" t="str">
        <f t="shared" si="7"/>
        <v>6.00</v>
      </c>
      <c r="AE16" s="18"/>
      <c r="AF16" s="19"/>
      <c r="AG16" s="7">
        <v>12</v>
      </c>
      <c r="AH16" s="33">
        <v>0.20833333333333334</v>
      </c>
      <c r="AI16" s="33">
        <v>0.45833333333333331</v>
      </c>
      <c r="AJ16" s="6"/>
      <c r="AK16" s="39">
        <f t="shared" ref="AK16:AK35" si="22">AI16-AH16</f>
        <v>0.24999999999999997</v>
      </c>
      <c r="AL16" s="37" t="str">
        <f t="shared" si="9"/>
        <v>6.00</v>
      </c>
      <c r="AM16" s="18"/>
      <c r="AN16" s="19"/>
      <c r="AO16" s="7">
        <v>12</v>
      </c>
      <c r="AP16" s="33">
        <v>0.20833333333333334</v>
      </c>
      <c r="AQ16" s="33">
        <v>0.45833333333333331</v>
      </c>
      <c r="AR16" s="6"/>
      <c r="AS16" s="39">
        <f t="shared" ref="AS16:AS35" si="23">AQ16-AP16</f>
        <v>0.24999999999999997</v>
      </c>
      <c r="AT16" s="37" t="str">
        <f t="shared" si="11"/>
        <v>6.00</v>
      </c>
      <c r="AU16" s="18"/>
      <c r="AV16" s="21"/>
      <c r="AW16" s="5">
        <v>12</v>
      </c>
      <c r="AX16" s="41">
        <v>0.20833333333333334</v>
      </c>
      <c r="AY16" s="41">
        <v>0.4513888888888889</v>
      </c>
      <c r="AZ16" s="6"/>
      <c r="BA16" s="39">
        <f t="shared" si="12"/>
        <v>0.24305555555555555</v>
      </c>
      <c r="BB16" s="37" t="str">
        <f t="shared" si="13"/>
        <v>5.50</v>
      </c>
      <c r="BC16" s="18"/>
      <c r="BD16" s="19"/>
      <c r="BE16" s="10">
        <v>12</v>
      </c>
      <c r="BF16" s="33">
        <v>0.5</v>
      </c>
      <c r="BG16" s="33">
        <v>0.5</v>
      </c>
      <c r="BH16" s="3"/>
      <c r="BI16" s="57">
        <f t="shared" si="14"/>
        <v>0</v>
      </c>
      <c r="BJ16" s="58" t="str">
        <f t="shared" si="15"/>
        <v>0.00</v>
      </c>
      <c r="BK16" s="18"/>
      <c r="BL16" s="19"/>
      <c r="BM16" s="5">
        <v>12</v>
      </c>
      <c r="BN16" s="33">
        <v>0.5</v>
      </c>
      <c r="BO16" s="33">
        <v>0.5</v>
      </c>
      <c r="BP16" s="2"/>
      <c r="BQ16" s="42">
        <f t="shared" si="16"/>
        <v>0</v>
      </c>
      <c r="BR16" s="43" t="str">
        <f t="shared" si="17"/>
        <v>0.00</v>
      </c>
      <c r="BS16" s="18"/>
      <c r="BT16" s="19"/>
      <c r="BU16" s="5">
        <v>12</v>
      </c>
      <c r="BV16" s="33">
        <v>0.22916666666666666</v>
      </c>
      <c r="BW16" s="33">
        <v>0.4513888888888889</v>
      </c>
      <c r="BX16" s="2"/>
      <c r="BY16" s="42">
        <f t="shared" si="18"/>
        <v>0.22222222222222224</v>
      </c>
      <c r="BZ16" s="43" t="str">
        <f t="shared" si="19"/>
        <v>5.20</v>
      </c>
      <c r="CA16" s="18"/>
    </row>
    <row r="17" spans="1:79" x14ac:dyDescent="0.3">
      <c r="A17" s="50">
        <v>13</v>
      </c>
      <c r="B17" s="51">
        <v>0.4236111111111111</v>
      </c>
      <c r="C17" s="51">
        <v>0.93055555555555547</v>
      </c>
      <c r="D17" s="52"/>
      <c r="E17" s="53">
        <f t="shared" si="0"/>
        <v>0.50694444444444442</v>
      </c>
      <c r="F17" s="54" t="str">
        <f t="shared" si="1"/>
        <v>12.10</v>
      </c>
      <c r="G17" s="18"/>
      <c r="H17" s="19"/>
      <c r="I17" s="60">
        <v>13</v>
      </c>
      <c r="J17" s="61">
        <v>0.22916666666666666</v>
      </c>
      <c r="K17" s="61">
        <v>0.44097222222222227</v>
      </c>
      <c r="L17" s="62"/>
      <c r="M17" s="63">
        <f t="shared" si="2"/>
        <v>0.21180555555555561</v>
      </c>
      <c r="N17" s="64" t="str">
        <f t="shared" si="3"/>
        <v>5.05</v>
      </c>
      <c r="O17" s="20"/>
      <c r="P17" s="19"/>
      <c r="Q17" s="5">
        <v>13</v>
      </c>
      <c r="R17" s="41">
        <v>0.22916666666666666</v>
      </c>
      <c r="S17" s="41">
        <v>0.44097222222222227</v>
      </c>
      <c r="T17" s="2"/>
      <c r="U17" s="42">
        <f t="shared" si="20"/>
        <v>0.21180555555555561</v>
      </c>
      <c r="V17" s="43" t="str">
        <f t="shared" si="5"/>
        <v>5.05</v>
      </c>
      <c r="W17" s="18"/>
      <c r="X17" s="27"/>
      <c r="Y17" s="5">
        <v>13</v>
      </c>
      <c r="Z17" s="41">
        <v>0.20833333333333334</v>
      </c>
      <c r="AA17" s="41">
        <v>0.44444444444444442</v>
      </c>
      <c r="AB17" s="2"/>
      <c r="AC17" s="42">
        <f t="shared" si="21"/>
        <v>0.23611111111111108</v>
      </c>
      <c r="AD17" s="43" t="str">
        <f t="shared" si="7"/>
        <v>5.40</v>
      </c>
      <c r="AE17" s="18"/>
      <c r="AF17" s="19"/>
      <c r="AG17" s="5">
        <v>13</v>
      </c>
      <c r="AH17" s="41">
        <v>0.20833333333333334</v>
      </c>
      <c r="AI17" s="41">
        <v>0.44444444444444442</v>
      </c>
      <c r="AJ17" s="2"/>
      <c r="AK17" s="42">
        <f t="shared" si="22"/>
        <v>0.23611111111111108</v>
      </c>
      <c r="AL17" s="43" t="str">
        <f t="shared" si="9"/>
        <v>5.40</v>
      </c>
      <c r="AM17" s="18"/>
      <c r="AN17" s="19"/>
      <c r="AO17" s="5">
        <v>13</v>
      </c>
      <c r="AP17" s="41">
        <v>0.20833333333333334</v>
      </c>
      <c r="AQ17" s="41">
        <v>0.44444444444444442</v>
      </c>
      <c r="AR17" s="2"/>
      <c r="AS17" s="42">
        <f t="shared" si="23"/>
        <v>0.23611111111111108</v>
      </c>
      <c r="AT17" s="43" t="str">
        <f t="shared" si="11"/>
        <v>5.40</v>
      </c>
      <c r="AU17" s="18"/>
      <c r="AV17" s="21"/>
      <c r="AW17" s="5">
        <v>13</v>
      </c>
      <c r="AX17" s="41">
        <v>0.20833333333333334</v>
      </c>
      <c r="AY17" s="41">
        <v>0.4375</v>
      </c>
      <c r="AZ17" s="6"/>
      <c r="BA17" s="39">
        <f t="shared" si="12"/>
        <v>0.22916666666666666</v>
      </c>
      <c r="BB17" s="37" t="str">
        <f t="shared" si="13"/>
        <v>5.30</v>
      </c>
      <c r="BC17" s="18"/>
      <c r="BD17" s="19"/>
      <c r="BE17" s="10">
        <v>13</v>
      </c>
      <c r="BF17" s="33">
        <v>0.5</v>
      </c>
      <c r="BG17" s="33">
        <v>0.5</v>
      </c>
      <c r="BH17" s="3"/>
      <c r="BI17" s="57">
        <f t="shared" si="14"/>
        <v>0</v>
      </c>
      <c r="BJ17" s="58" t="str">
        <f t="shared" si="15"/>
        <v>0.00</v>
      </c>
      <c r="BK17" s="18"/>
      <c r="BL17" s="19"/>
      <c r="BM17" s="5">
        <v>13</v>
      </c>
      <c r="BN17" s="33">
        <v>0.5</v>
      </c>
      <c r="BO17" s="33">
        <v>0.5</v>
      </c>
      <c r="BP17" s="2"/>
      <c r="BQ17" s="42">
        <f t="shared" si="16"/>
        <v>0</v>
      </c>
      <c r="BR17" s="43" t="str">
        <f t="shared" si="17"/>
        <v>0.00</v>
      </c>
      <c r="BS17" s="18"/>
      <c r="BT17" s="19"/>
      <c r="BU17" s="5">
        <v>13</v>
      </c>
      <c r="BV17" s="33">
        <v>0.22638888888888889</v>
      </c>
      <c r="BW17" s="33">
        <v>0.43958333333333338</v>
      </c>
      <c r="BX17" s="2"/>
      <c r="BY17" s="42">
        <f t="shared" si="18"/>
        <v>0.21319444444444449</v>
      </c>
      <c r="BZ17" s="43" t="str">
        <f t="shared" si="19"/>
        <v>5.07</v>
      </c>
      <c r="CA17" s="18"/>
    </row>
    <row r="18" spans="1:79" x14ac:dyDescent="0.3">
      <c r="A18" s="7">
        <v>14</v>
      </c>
      <c r="B18" s="33">
        <v>0.42986111111111108</v>
      </c>
      <c r="C18" s="33">
        <v>0.92986111111111114</v>
      </c>
      <c r="D18" s="6"/>
      <c r="E18" s="39">
        <f t="shared" si="0"/>
        <v>0.5</v>
      </c>
      <c r="F18" s="37" t="str">
        <f t="shared" si="1"/>
        <v>12.00</v>
      </c>
      <c r="G18" s="18"/>
      <c r="H18" s="19"/>
      <c r="I18" s="5">
        <v>14</v>
      </c>
      <c r="J18" s="41">
        <v>0.23263888888888887</v>
      </c>
      <c r="K18" s="41">
        <v>0.4548611111111111</v>
      </c>
      <c r="L18" s="2"/>
      <c r="M18" s="42">
        <f t="shared" si="2"/>
        <v>0.22222222222222224</v>
      </c>
      <c r="N18" s="43" t="str">
        <f t="shared" si="3"/>
        <v>5.20</v>
      </c>
      <c r="O18" s="20"/>
      <c r="P18" s="19"/>
      <c r="Q18" s="7">
        <v>14</v>
      </c>
      <c r="R18" s="33">
        <v>0.23263888888888887</v>
      </c>
      <c r="S18" s="33">
        <v>0.4548611111111111</v>
      </c>
      <c r="T18" s="6"/>
      <c r="U18" s="39">
        <f t="shared" si="4"/>
        <v>0.22222222222222224</v>
      </c>
      <c r="V18" s="37" t="str">
        <f t="shared" si="5"/>
        <v>5.20</v>
      </c>
      <c r="W18" s="18"/>
      <c r="X18" s="27"/>
      <c r="Y18" s="7">
        <v>14</v>
      </c>
      <c r="Z18" s="33">
        <v>0.20833333333333334</v>
      </c>
      <c r="AA18" s="33">
        <v>0.4548611111111111</v>
      </c>
      <c r="AB18" s="6"/>
      <c r="AC18" s="39">
        <f t="shared" si="21"/>
        <v>0.24652777777777776</v>
      </c>
      <c r="AD18" s="37" t="str">
        <f t="shared" si="7"/>
        <v>5.55</v>
      </c>
      <c r="AE18" s="18"/>
      <c r="AF18" s="19"/>
      <c r="AG18" s="7">
        <v>14</v>
      </c>
      <c r="AH18" s="33">
        <v>0.20833333333333334</v>
      </c>
      <c r="AI18" s="33">
        <v>0.4548611111111111</v>
      </c>
      <c r="AJ18" s="6"/>
      <c r="AK18" s="39">
        <f t="shared" si="22"/>
        <v>0.24652777777777776</v>
      </c>
      <c r="AL18" s="37" t="str">
        <f t="shared" si="9"/>
        <v>5.55</v>
      </c>
      <c r="AM18" s="18"/>
      <c r="AN18" s="19"/>
      <c r="AO18" s="7">
        <v>14</v>
      </c>
      <c r="AP18" s="33">
        <v>0.20833333333333334</v>
      </c>
      <c r="AQ18" s="33">
        <v>0.4548611111111111</v>
      </c>
      <c r="AR18" s="6"/>
      <c r="AS18" s="39">
        <f t="shared" si="23"/>
        <v>0.24652777777777776</v>
      </c>
      <c r="AT18" s="37" t="str">
        <f t="shared" si="11"/>
        <v>5.55</v>
      </c>
      <c r="AU18" s="18"/>
      <c r="AV18" s="21"/>
      <c r="AW18" s="5">
        <v>14</v>
      </c>
      <c r="AX18" s="41">
        <v>0.22916666666666666</v>
      </c>
      <c r="AY18" s="41">
        <v>0.4513888888888889</v>
      </c>
      <c r="AZ18" s="6"/>
      <c r="BA18" s="39">
        <f t="shared" si="12"/>
        <v>0.22222222222222224</v>
      </c>
      <c r="BB18" s="37" t="str">
        <f t="shared" si="13"/>
        <v>5.20</v>
      </c>
      <c r="BC18" s="18"/>
      <c r="BD18" s="19"/>
      <c r="BE18" s="7">
        <v>14</v>
      </c>
      <c r="BF18" s="33">
        <v>0.5</v>
      </c>
      <c r="BG18" s="33">
        <v>0.5</v>
      </c>
      <c r="BH18" s="6"/>
      <c r="BI18" s="39">
        <f t="shared" si="14"/>
        <v>0</v>
      </c>
      <c r="BJ18" s="37" t="str">
        <f t="shared" si="15"/>
        <v>0.00</v>
      </c>
      <c r="BK18" s="18"/>
      <c r="BL18" s="19"/>
      <c r="BM18" s="7">
        <v>14</v>
      </c>
      <c r="BN18" s="33">
        <v>0.5</v>
      </c>
      <c r="BO18" s="33">
        <v>0.5</v>
      </c>
      <c r="BP18" s="6"/>
      <c r="BQ18" s="39">
        <f t="shared" si="16"/>
        <v>0</v>
      </c>
      <c r="BR18" s="37" t="str">
        <f t="shared" si="17"/>
        <v>0.00</v>
      </c>
      <c r="BS18" s="18"/>
      <c r="BT18" s="19"/>
      <c r="BU18" s="7">
        <v>14</v>
      </c>
      <c r="BV18" s="33">
        <v>0.23611111111111113</v>
      </c>
      <c r="BW18" s="33">
        <v>0.4375</v>
      </c>
      <c r="BX18" s="6"/>
      <c r="BY18" s="39">
        <f t="shared" si="18"/>
        <v>0.20138888888888887</v>
      </c>
      <c r="BZ18" s="37" t="str">
        <f t="shared" si="19"/>
        <v>4.50</v>
      </c>
      <c r="CA18" s="18"/>
    </row>
    <row r="19" spans="1:79" x14ac:dyDescent="0.3">
      <c r="A19" s="7">
        <v>15</v>
      </c>
      <c r="B19" s="33">
        <v>0.42708333333333331</v>
      </c>
      <c r="C19" s="33">
        <v>0.93125000000000002</v>
      </c>
      <c r="D19" s="6"/>
      <c r="E19" s="39">
        <f t="shared" si="0"/>
        <v>0.50416666666666665</v>
      </c>
      <c r="F19" s="37" t="str">
        <f t="shared" si="1"/>
        <v>12.06</v>
      </c>
      <c r="G19" s="18"/>
      <c r="H19" s="19"/>
      <c r="I19" s="10">
        <v>15</v>
      </c>
      <c r="J19" s="56">
        <v>0.22916666666666666</v>
      </c>
      <c r="K19" s="56">
        <v>0.4513888888888889</v>
      </c>
      <c r="L19" s="3"/>
      <c r="M19" s="57">
        <f t="shared" si="2"/>
        <v>0.22222222222222224</v>
      </c>
      <c r="N19" s="58" t="str">
        <f t="shared" si="3"/>
        <v>5.20</v>
      </c>
      <c r="O19" s="20"/>
      <c r="P19" s="19"/>
      <c r="Q19" s="7">
        <v>15</v>
      </c>
      <c r="R19" s="33">
        <v>0.22916666666666666</v>
      </c>
      <c r="S19" s="33">
        <v>0.4513888888888889</v>
      </c>
      <c r="T19" s="6"/>
      <c r="U19" s="39">
        <f t="shared" si="4"/>
        <v>0.22222222222222224</v>
      </c>
      <c r="V19" s="37" t="str">
        <f t="shared" si="5"/>
        <v>5.20</v>
      </c>
      <c r="W19" s="18"/>
      <c r="X19" s="27"/>
      <c r="Y19" s="7">
        <v>15</v>
      </c>
      <c r="Z19" s="33">
        <v>0.20833333333333334</v>
      </c>
      <c r="AA19" s="33">
        <v>0.4513888888888889</v>
      </c>
      <c r="AB19" s="6"/>
      <c r="AC19" s="39">
        <f t="shared" si="21"/>
        <v>0.24305555555555555</v>
      </c>
      <c r="AD19" s="37" t="str">
        <f t="shared" si="7"/>
        <v>5.50</v>
      </c>
      <c r="AE19" s="18"/>
      <c r="AF19" s="19"/>
      <c r="AG19" s="7">
        <v>15</v>
      </c>
      <c r="AH19" s="33">
        <v>0.20833333333333334</v>
      </c>
      <c r="AI19" s="33">
        <v>0.4513888888888889</v>
      </c>
      <c r="AJ19" s="6"/>
      <c r="AK19" s="39">
        <f t="shared" si="22"/>
        <v>0.24305555555555555</v>
      </c>
      <c r="AL19" s="37" t="str">
        <f t="shared" si="9"/>
        <v>5.50</v>
      </c>
      <c r="AM19" s="18"/>
      <c r="AN19" s="19"/>
      <c r="AO19" s="7">
        <v>15</v>
      </c>
      <c r="AP19" s="33">
        <v>0.20833333333333334</v>
      </c>
      <c r="AQ19" s="33">
        <v>0.4513888888888889</v>
      </c>
      <c r="AR19" s="6"/>
      <c r="AS19" s="39">
        <f t="shared" si="23"/>
        <v>0.24305555555555555</v>
      </c>
      <c r="AT19" s="37" t="str">
        <f t="shared" si="11"/>
        <v>5.50</v>
      </c>
      <c r="AU19" s="18"/>
      <c r="AV19" s="21"/>
      <c r="AW19" s="5">
        <v>15</v>
      </c>
      <c r="AX19" s="41">
        <v>0.20833333333333334</v>
      </c>
      <c r="AY19" s="41">
        <v>0.4513888888888889</v>
      </c>
      <c r="AZ19" s="6"/>
      <c r="BA19" s="39">
        <f t="shared" si="12"/>
        <v>0.24305555555555555</v>
      </c>
      <c r="BB19" s="37" t="str">
        <f t="shared" si="13"/>
        <v>5.50</v>
      </c>
      <c r="BC19" s="18"/>
      <c r="BD19" s="19"/>
      <c r="BE19" s="7">
        <v>15</v>
      </c>
      <c r="BF19" s="33">
        <v>0.5</v>
      </c>
      <c r="BG19" s="33">
        <v>0.5</v>
      </c>
      <c r="BH19" s="6"/>
      <c r="BI19" s="39">
        <f t="shared" si="14"/>
        <v>0</v>
      </c>
      <c r="BJ19" s="37" t="str">
        <f t="shared" si="15"/>
        <v>0.00</v>
      </c>
      <c r="BK19" s="18"/>
      <c r="BL19" s="19"/>
      <c r="BM19" s="7">
        <v>15</v>
      </c>
      <c r="BN19" s="33">
        <v>0.5</v>
      </c>
      <c r="BO19" s="33">
        <v>0.5</v>
      </c>
      <c r="BP19" s="6"/>
      <c r="BQ19" s="39">
        <f t="shared" si="16"/>
        <v>0</v>
      </c>
      <c r="BR19" s="37" t="str">
        <f t="shared" si="17"/>
        <v>0.00</v>
      </c>
      <c r="BS19" s="18"/>
      <c r="BT19" s="19"/>
      <c r="BU19" s="7">
        <v>15</v>
      </c>
      <c r="BV19" s="33">
        <v>0.23611111111111113</v>
      </c>
      <c r="BW19" s="33">
        <v>0.46875</v>
      </c>
      <c r="BX19" s="6"/>
      <c r="BY19" s="39">
        <f t="shared" si="18"/>
        <v>0.23263888888888887</v>
      </c>
      <c r="BZ19" s="37" t="str">
        <f t="shared" si="19"/>
        <v>5.35</v>
      </c>
      <c r="CA19" s="18"/>
    </row>
    <row r="20" spans="1:79" x14ac:dyDescent="0.3">
      <c r="A20" s="7">
        <v>16</v>
      </c>
      <c r="B20" s="33">
        <v>0.42986111111111108</v>
      </c>
      <c r="C20" s="33">
        <v>0.92986111111111114</v>
      </c>
      <c r="D20" s="6"/>
      <c r="E20" s="39">
        <f>C20-B20</f>
        <v>0.5</v>
      </c>
      <c r="F20" s="37" t="str">
        <f t="shared" si="1"/>
        <v>12.00</v>
      </c>
      <c r="G20" s="18"/>
      <c r="H20" s="19"/>
      <c r="I20" s="10">
        <v>16</v>
      </c>
      <c r="J20" s="56">
        <v>0.29166666666666669</v>
      </c>
      <c r="K20" s="56">
        <v>0.44097222222222227</v>
      </c>
      <c r="L20" s="3"/>
      <c r="M20" s="57">
        <f>K20-J20</f>
        <v>0.14930555555555558</v>
      </c>
      <c r="N20" s="58" t="str">
        <f t="shared" si="3"/>
        <v>3.35</v>
      </c>
      <c r="O20" s="20"/>
      <c r="P20" s="19"/>
      <c r="Q20" s="7">
        <v>16</v>
      </c>
      <c r="R20" s="33">
        <v>0.22638888888888889</v>
      </c>
      <c r="S20" s="33">
        <v>0.44097222222222227</v>
      </c>
      <c r="T20" s="6"/>
      <c r="U20" s="39">
        <f t="shared" si="4"/>
        <v>0.21458333333333338</v>
      </c>
      <c r="V20" s="37" t="str">
        <f t="shared" si="5"/>
        <v>5.09</v>
      </c>
      <c r="W20" s="18"/>
      <c r="X20" s="27"/>
      <c r="Y20" s="7">
        <v>16</v>
      </c>
      <c r="Z20" s="33">
        <v>0.20833333333333334</v>
      </c>
      <c r="AA20" s="33">
        <v>0.44444444444444442</v>
      </c>
      <c r="AB20" s="6"/>
      <c r="AC20" s="39">
        <f t="shared" si="21"/>
        <v>0.23611111111111108</v>
      </c>
      <c r="AD20" s="37" t="str">
        <f t="shared" si="7"/>
        <v>5.40</v>
      </c>
      <c r="AE20" s="18"/>
      <c r="AF20" s="19"/>
      <c r="AG20" s="7">
        <v>16</v>
      </c>
      <c r="AH20" s="33">
        <v>0.20833333333333334</v>
      </c>
      <c r="AI20" s="33">
        <v>0.44444444444444442</v>
      </c>
      <c r="AJ20" s="6"/>
      <c r="AK20" s="39">
        <f t="shared" si="22"/>
        <v>0.23611111111111108</v>
      </c>
      <c r="AL20" s="37" t="str">
        <f t="shared" si="9"/>
        <v>5.40</v>
      </c>
      <c r="AM20" s="18"/>
      <c r="AN20" s="19"/>
      <c r="AO20" s="7">
        <v>16</v>
      </c>
      <c r="AP20" s="33">
        <v>0.20833333333333334</v>
      </c>
      <c r="AQ20" s="33">
        <v>0.44444444444444442</v>
      </c>
      <c r="AR20" s="6"/>
      <c r="AS20" s="39">
        <f t="shared" si="23"/>
        <v>0.23611111111111108</v>
      </c>
      <c r="AT20" s="37" t="str">
        <f t="shared" si="11"/>
        <v>5.40</v>
      </c>
      <c r="AU20" s="18"/>
      <c r="AV20" s="21"/>
      <c r="AW20" s="5">
        <v>16</v>
      </c>
      <c r="AX20" s="41">
        <v>0.16666666666666666</v>
      </c>
      <c r="AY20" s="41">
        <v>0.4513888888888889</v>
      </c>
      <c r="AZ20" s="6"/>
      <c r="BA20" s="39">
        <f t="shared" si="12"/>
        <v>0.28472222222222221</v>
      </c>
      <c r="BB20" s="37" t="str">
        <f t="shared" si="13"/>
        <v>6.50</v>
      </c>
      <c r="BC20" s="18"/>
      <c r="BD20" s="19"/>
      <c r="BE20" s="7">
        <v>16</v>
      </c>
      <c r="BF20" s="33">
        <v>0.5</v>
      </c>
      <c r="BG20" s="33">
        <v>0.5</v>
      </c>
      <c r="BH20" s="6"/>
      <c r="BI20" s="39">
        <f t="shared" si="14"/>
        <v>0</v>
      </c>
      <c r="BJ20" s="37" t="str">
        <f t="shared" si="15"/>
        <v>0.00</v>
      </c>
      <c r="BK20" s="18"/>
      <c r="BL20" s="19"/>
      <c r="BM20" s="7">
        <v>16</v>
      </c>
      <c r="BN20" s="33">
        <v>0.5</v>
      </c>
      <c r="BO20" s="33">
        <v>0.5</v>
      </c>
      <c r="BP20" s="6"/>
      <c r="BQ20" s="39">
        <f t="shared" si="16"/>
        <v>0</v>
      </c>
      <c r="BR20" s="37" t="str">
        <f t="shared" si="17"/>
        <v>0.00</v>
      </c>
      <c r="BS20" s="18"/>
      <c r="BT20" s="19"/>
      <c r="BU20" s="7">
        <v>16</v>
      </c>
      <c r="BV20" s="33">
        <v>0.23263888888888887</v>
      </c>
      <c r="BW20" s="33">
        <v>0.44097222222222227</v>
      </c>
      <c r="BX20" s="6"/>
      <c r="BY20" s="39">
        <f t="shared" si="18"/>
        <v>0.2083333333333334</v>
      </c>
      <c r="BZ20" s="37" t="str">
        <f t="shared" si="19"/>
        <v>5.00</v>
      </c>
      <c r="CA20" s="18"/>
    </row>
    <row r="21" spans="1:79" x14ac:dyDescent="0.3">
      <c r="A21" s="5">
        <v>17</v>
      </c>
      <c r="B21" s="41">
        <v>0.4284722222222222</v>
      </c>
      <c r="C21" s="41">
        <v>0.9375</v>
      </c>
      <c r="D21" s="2"/>
      <c r="E21" s="42">
        <f t="shared" si="0"/>
        <v>0.50902777777777786</v>
      </c>
      <c r="F21" s="43" t="str">
        <f t="shared" si="1"/>
        <v>12.13</v>
      </c>
      <c r="G21" s="18"/>
      <c r="H21" s="19"/>
      <c r="I21" s="10">
        <v>17</v>
      </c>
      <c r="J21" s="56">
        <v>0.22222222222222221</v>
      </c>
      <c r="K21" s="56">
        <v>0.4375</v>
      </c>
      <c r="L21" s="3"/>
      <c r="M21" s="57">
        <f t="shared" ref="M21:M25" si="24">K21-J21</f>
        <v>0.21527777777777779</v>
      </c>
      <c r="N21" s="58" t="str">
        <f t="shared" si="3"/>
        <v>5.10</v>
      </c>
      <c r="O21" s="20"/>
      <c r="P21" s="19"/>
      <c r="Q21" s="7">
        <v>17</v>
      </c>
      <c r="R21" s="33">
        <v>0.23611111111111113</v>
      </c>
      <c r="S21" s="33">
        <v>0.4375</v>
      </c>
      <c r="T21" s="6"/>
      <c r="U21" s="39">
        <f t="shared" si="4"/>
        <v>0.20138888888888887</v>
      </c>
      <c r="V21" s="37" t="str">
        <f t="shared" si="5"/>
        <v>4.50</v>
      </c>
      <c r="W21" s="18"/>
      <c r="X21" s="27"/>
      <c r="Y21" s="7">
        <v>17</v>
      </c>
      <c r="Z21" s="33">
        <v>0.22916666666666666</v>
      </c>
      <c r="AA21" s="33">
        <v>0.43888888888888888</v>
      </c>
      <c r="AB21" s="6"/>
      <c r="AC21" s="39">
        <f t="shared" si="21"/>
        <v>0.20972222222222223</v>
      </c>
      <c r="AD21" s="37" t="str">
        <f t="shared" si="7"/>
        <v>5.02</v>
      </c>
      <c r="AE21" s="18"/>
      <c r="AF21" s="19"/>
      <c r="AG21" s="7">
        <v>17</v>
      </c>
      <c r="AH21" s="33">
        <v>0.20833333333333334</v>
      </c>
      <c r="AI21" s="33">
        <v>0.43888888888888888</v>
      </c>
      <c r="AJ21" s="6"/>
      <c r="AK21" s="39">
        <f t="shared" si="22"/>
        <v>0.23055555555555554</v>
      </c>
      <c r="AL21" s="37" t="str">
        <f t="shared" si="9"/>
        <v>5.32</v>
      </c>
      <c r="AM21" s="18"/>
      <c r="AN21" s="19"/>
      <c r="AO21" s="7">
        <v>17</v>
      </c>
      <c r="AP21" s="33">
        <v>0.20833333333333334</v>
      </c>
      <c r="AQ21" s="33">
        <v>0.43888888888888888</v>
      </c>
      <c r="AR21" s="6"/>
      <c r="AS21" s="39">
        <f t="shared" si="23"/>
        <v>0.23055555555555554</v>
      </c>
      <c r="AT21" s="37" t="str">
        <f t="shared" si="11"/>
        <v>5.32</v>
      </c>
      <c r="AU21" s="18"/>
      <c r="AV21" s="21"/>
      <c r="AW21" s="5">
        <v>17</v>
      </c>
      <c r="AX21" s="41">
        <v>0.20833333333333334</v>
      </c>
      <c r="AY21" s="41">
        <v>0.43888888888888888</v>
      </c>
      <c r="AZ21" s="6"/>
      <c r="BA21" s="39">
        <f t="shared" si="12"/>
        <v>0.23055555555555554</v>
      </c>
      <c r="BB21" s="37" t="str">
        <f t="shared" si="13"/>
        <v>5.32</v>
      </c>
      <c r="BC21" s="18"/>
      <c r="BD21" s="19"/>
      <c r="BE21" s="7">
        <v>17</v>
      </c>
      <c r="BF21" s="33">
        <v>0.5</v>
      </c>
      <c r="BG21" s="33">
        <v>0.5</v>
      </c>
      <c r="BH21" s="6"/>
      <c r="BI21" s="39">
        <f t="shared" si="14"/>
        <v>0</v>
      </c>
      <c r="BJ21" s="37" t="str">
        <f t="shared" si="15"/>
        <v>0.00</v>
      </c>
      <c r="BK21" s="18"/>
      <c r="BL21" s="19"/>
      <c r="BM21" s="7">
        <v>17</v>
      </c>
      <c r="BN21" s="33">
        <v>0.5</v>
      </c>
      <c r="BO21" s="33">
        <v>0.5</v>
      </c>
      <c r="BP21" s="6"/>
      <c r="BQ21" s="39">
        <f t="shared" si="16"/>
        <v>0</v>
      </c>
      <c r="BR21" s="37" t="str">
        <f t="shared" si="17"/>
        <v>0.00</v>
      </c>
      <c r="BS21" s="18"/>
      <c r="BT21" s="19"/>
      <c r="BU21" s="7">
        <v>17</v>
      </c>
      <c r="BV21" s="33">
        <v>0.24305555555555555</v>
      </c>
      <c r="BW21" s="33">
        <v>0.4548611111111111</v>
      </c>
      <c r="BX21" s="6"/>
      <c r="BY21" s="39">
        <f t="shared" si="18"/>
        <v>0.21180555555555555</v>
      </c>
      <c r="BZ21" s="37" t="str">
        <f t="shared" si="19"/>
        <v>5.05</v>
      </c>
      <c r="CA21" s="18"/>
    </row>
    <row r="22" spans="1:79" x14ac:dyDescent="0.3">
      <c r="A22" s="7">
        <v>18</v>
      </c>
      <c r="B22" s="33">
        <v>0.42986111111111108</v>
      </c>
      <c r="C22" s="33">
        <v>0.90625</v>
      </c>
      <c r="D22" s="6"/>
      <c r="E22" s="39">
        <f t="shared" si="0"/>
        <v>0.47638888888888892</v>
      </c>
      <c r="F22" s="37" t="str">
        <f t="shared" si="1"/>
        <v>11.26</v>
      </c>
      <c r="G22" s="18"/>
      <c r="H22" s="19"/>
      <c r="I22" s="10">
        <v>18</v>
      </c>
      <c r="J22" s="56">
        <v>0.23611111111111113</v>
      </c>
      <c r="K22" s="56">
        <v>0.46875</v>
      </c>
      <c r="L22" s="3"/>
      <c r="M22" s="57">
        <f t="shared" si="24"/>
        <v>0.23263888888888887</v>
      </c>
      <c r="N22" s="58" t="str">
        <f t="shared" si="3"/>
        <v>5.35</v>
      </c>
      <c r="O22" s="20"/>
      <c r="P22" s="19"/>
      <c r="Q22" s="7">
        <v>18</v>
      </c>
      <c r="R22" s="33">
        <v>0.23611111111111113</v>
      </c>
      <c r="S22" s="33">
        <v>0.46875</v>
      </c>
      <c r="T22" s="6"/>
      <c r="U22" s="39">
        <f t="shared" si="4"/>
        <v>0.23263888888888887</v>
      </c>
      <c r="V22" s="37" t="str">
        <f t="shared" si="5"/>
        <v>5.35</v>
      </c>
      <c r="W22" s="18"/>
      <c r="X22" s="27"/>
      <c r="Y22" s="7">
        <v>18</v>
      </c>
      <c r="Z22" s="33">
        <v>0.20833333333333334</v>
      </c>
      <c r="AA22" s="33">
        <v>0.47222222222222227</v>
      </c>
      <c r="AB22" s="6"/>
      <c r="AC22" s="39">
        <f t="shared" si="21"/>
        <v>0.26388888888888895</v>
      </c>
      <c r="AD22" s="37" t="str">
        <f t="shared" si="7"/>
        <v>6.20</v>
      </c>
      <c r="AE22" s="18"/>
      <c r="AF22" s="19"/>
      <c r="AG22" s="7">
        <v>18</v>
      </c>
      <c r="AH22" s="33">
        <v>0.20833333333333334</v>
      </c>
      <c r="AI22" s="33">
        <v>0.47222222222222227</v>
      </c>
      <c r="AJ22" s="6"/>
      <c r="AK22" s="39">
        <f t="shared" si="22"/>
        <v>0.26388888888888895</v>
      </c>
      <c r="AL22" s="37" t="str">
        <f t="shared" si="9"/>
        <v>6.20</v>
      </c>
      <c r="AM22" s="18"/>
      <c r="AN22" s="19"/>
      <c r="AO22" s="7">
        <v>18</v>
      </c>
      <c r="AP22" s="33">
        <v>0.20833333333333334</v>
      </c>
      <c r="AQ22" s="33">
        <v>0.47222222222222227</v>
      </c>
      <c r="AR22" s="6"/>
      <c r="AS22" s="39">
        <f t="shared" si="23"/>
        <v>0.26388888888888895</v>
      </c>
      <c r="AT22" s="37" t="str">
        <f t="shared" si="11"/>
        <v>6.20</v>
      </c>
      <c r="AU22" s="18"/>
      <c r="AV22" s="21"/>
      <c r="AW22" s="5">
        <v>18</v>
      </c>
      <c r="AX22" s="41">
        <v>0.20833333333333334</v>
      </c>
      <c r="AY22" s="41">
        <v>0.46875</v>
      </c>
      <c r="AZ22" s="6"/>
      <c r="BA22" s="39">
        <f t="shared" si="12"/>
        <v>0.26041666666666663</v>
      </c>
      <c r="BB22" s="37" t="str">
        <f t="shared" si="13"/>
        <v>6.15</v>
      </c>
      <c r="BC22" s="18"/>
      <c r="BD22" s="19"/>
      <c r="BE22" s="7">
        <v>18</v>
      </c>
      <c r="BF22" s="33">
        <v>0.5</v>
      </c>
      <c r="BG22" s="33">
        <v>0.5</v>
      </c>
      <c r="BH22" s="6"/>
      <c r="BI22" s="39">
        <f t="shared" si="14"/>
        <v>0</v>
      </c>
      <c r="BJ22" s="37" t="str">
        <f t="shared" si="15"/>
        <v>0.00</v>
      </c>
      <c r="BK22" s="18"/>
      <c r="BL22" s="19"/>
      <c r="BM22" s="7">
        <v>18</v>
      </c>
      <c r="BN22" s="33">
        <v>0.5</v>
      </c>
      <c r="BO22" s="33">
        <v>0.5</v>
      </c>
      <c r="BP22" s="6"/>
      <c r="BQ22" s="39">
        <f t="shared" si="16"/>
        <v>0</v>
      </c>
      <c r="BR22" s="37" t="str">
        <f t="shared" si="17"/>
        <v>0.00</v>
      </c>
      <c r="BS22" s="18"/>
      <c r="BT22" s="19"/>
      <c r="BU22" s="7">
        <v>18</v>
      </c>
      <c r="BV22" s="33">
        <v>0.34722222222222227</v>
      </c>
      <c r="BW22" s="33">
        <v>0.61458333333333337</v>
      </c>
      <c r="BX22" s="6"/>
      <c r="BY22" s="39">
        <f t="shared" si="18"/>
        <v>0.2673611111111111</v>
      </c>
      <c r="BZ22" s="37" t="str">
        <f t="shared" si="19"/>
        <v>6.25</v>
      </c>
      <c r="CA22" s="18"/>
    </row>
    <row r="23" spans="1:79" x14ac:dyDescent="0.3">
      <c r="A23" s="7">
        <v>19</v>
      </c>
      <c r="B23" s="33">
        <v>0.42986111111111108</v>
      </c>
      <c r="C23" s="33">
        <v>0.58888888888888891</v>
      </c>
      <c r="D23" s="6"/>
      <c r="E23" s="39">
        <f t="shared" si="0"/>
        <v>0.15902777777777782</v>
      </c>
      <c r="F23" s="37" t="str">
        <f t="shared" si="1"/>
        <v>3.49</v>
      </c>
      <c r="G23" s="18"/>
      <c r="H23" s="19"/>
      <c r="I23" s="10">
        <v>19</v>
      </c>
      <c r="J23" s="56">
        <v>0.23263888888888887</v>
      </c>
      <c r="K23" s="56">
        <v>0.44097222222222227</v>
      </c>
      <c r="L23" s="3"/>
      <c r="M23" s="57">
        <f t="shared" si="24"/>
        <v>0.2083333333333334</v>
      </c>
      <c r="N23" s="58" t="str">
        <f t="shared" si="3"/>
        <v>5.00</v>
      </c>
      <c r="O23" s="20"/>
      <c r="P23" s="19"/>
      <c r="Q23" s="7">
        <v>19</v>
      </c>
      <c r="R23" s="39">
        <v>0.23263888888888887</v>
      </c>
      <c r="S23" s="33">
        <v>0.44097222222222227</v>
      </c>
      <c r="T23" s="6"/>
      <c r="U23" s="39">
        <f t="shared" si="4"/>
        <v>0.2083333333333334</v>
      </c>
      <c r="V23" s="37" t="str">
        <f t="shared" si="5"/>
        <v>5.00</v>
      </c>
      <c r="W23" s="18"/>
      <c r="X23" s="27"/>
      <c r="Y23" s="7">
        <v>19</v>
      </c>
      <c r="Z23" s="33">
        <v>0.20833333333333334</v>
      </c>
      <c r="AA23" s="39">
        <v>0.44791666666666669</v>
      </c>
      <c r="AB23" s="6"/>
      <c r="AC23" s="39">
        <f t="shared" si="21"/>
        <v>0.23958333333333334</v>
      </c>
      <c r="AD23" s="37" t="str">
        <f t="shared" si="7"/>
        <v>5.45</v>
      </c>
      <c r="AE23" s="18"/>
      <c r="AF23" s="19"/>
      <c r="AG23" s="7">
        <v>19</v>
      </c>
      <c r="AH23" s="33">
        <v>0.20833333333333334</v>
      </c>
      <c r="AI23" s="39">
        <v>0.44791666666666669</v>
      </c>
      <c r="AJ23" s="6"/>
      <c r="AK23" s="39">
        <f t="shared" si="22"/>
        <v>0.23958333333333334</v>
      </c>
      <c r="AL23" s="37" t="str">
        <f t="shared" si="9"/>
        <v>5.45</v>
      </c>
      <c r="AM23" s="18"/>
      <c r="AN23" s="19"/>
      <c r="AO23" s="7">
        <v>19</v>
      </c>
      <c r="AP23" s="33">
        <v>0.20833333333333334</v>
      </c>
      <c r="AQ23" s="39">
        <v>0.44791666666666669</v>
      </c>
      <c r="AR23" s="6"/>
      <c r="AS23" s="39">
        <f t="shared" si="23"/>
        <v>0.23958333333333334</v>
      </c>
      <c r="AT23" s="37" t="str">
        <f t="shared" si="11"/>
        <v>5.45</v>
      </c>
      <c r="AU23" s="18"/>
      <c r="AV23" s="21"/>
      <c r="AW23" s="5">
        <v>19</v>
      </c>
      <c r="AX23" s="41">
        <v>0.20833333333333334</v>
      </c>
      <c r="AY23" s="41">
        <v>0.4513888888888889</v>
      </c>
      <c r="AZ23" s="6"/>
      <c r="BA23" s="39">
        <f t="shared" si="12"/>
        <v>0.24305555555555555</v>
      </c>
      <c r="BB23" s="37" t="str">
        <f t="shared" si="13"/>
        <v>5.50</v>
      </c>
      <c r="BC23" s="18"/>
      <c r="BD23" s="19"/>
      <c r="BE23" s="7">
        <v>19</v>
      </c>
      <c r="BF23" s="33">
        <v>0.5</v>
      </c>
      <c r="BG23" s="33">
        <v>0.5</v>
      </c>
      <c r="BH23" s="6"/>
      <c r="BI23" s="39">
        <f t="shared" si="14"/>
        <v>0</v>
      </c>
      <c r="BJ23" s="37" t="str">
        <f t="shared" si="15"/>
        <v>0.00</v>
      </c>
      <c r="BK23" s="18"/>
      <c r="BL23" s="19"/>
      <c r="BM23" s="7">
        <v>19</v>
      </c>
      <c r="BN23" s="33">
        <v>0.5</v>
      </c>
      <c r="BO23" s="33">
        <v>0.5</v>
      </c>
      <c r="BP23" s="6"/>
      <c r="BQ23" s="39">
        <f t="shared" si="16"/>
        <v>0</v>
      </c>
      <c r="BR23" s="37" t="str">
        <f t="shared" si="17"/>
        <v>0.00</v>
      </c>
      <c r="BS23" s="18"/>
      <c r="BT23" s="19"/>
      <c r="BU23" s="7">
        <v>19</v>
      </c>
      <c r="BV23" s="33">
        <v>0.22916666666666666</v>
      </c>
      <c r="BW23" s="33">
        <v>0.44791666666666669</v>
      </c>
      <c r="BX23" s="6"/>
      <c r="BY23" s="39">
        <f t="shared" si="18"/>
        <v>0.21875000000000003</v>
      </c>
      <c r="BZ23" s="37" t="str">
        <f t="shared" si="19"/>
        <v>5.15</v>
      </c>
      <c r="CA23" s="18"/>
    </row>
    <row r="24" spans="1:79" x14ac:dyDescent="0.3">
      <c r="A24" s="7">
        <v>20</v>
      </c>
      <c r="B24" s="33">
        <v>0.42986111111111108</v>
      </c>
      <c r="C24" s="34">
        <v>0.92361111111111116</v>
      </c>
      <c r="D24" s="6"/>
      <c r="E24" s="39">
        <f t="shared" si="0"/>
        <v>0.49375000000000008</v>
      </c>
      <c r="F24" s="37" t="str">
        <f t="shared" si="1"/>
        <v>11.51</v>
      </c>
      <c r="G24" s="18"/>
      <c r="H24" s="19"/>
      <c r="I24" s="10">
        <v>20</v>
      </c>
      <c r="J24" s="56">
        <v>0.23611111111111113</v>
      </c>
      <c r="K24" s="61">
        <v>0.4375</v>
      </c>
      <c r="L24" s="3"/>
      <c r="M24" s="57">
        <f t="shared" si="24"/>
        <v>0.20138888888888887</v>
      </c>
      <c r="N24" s="58" t="str">
        <f t="shared" si="3"/>
        <v>4.50</v>
      </c>
      <c r="O24" s="20"/>
      <c r="P24" s="19"/>
      <c r="Q24" s="7">
        <v>20</v>
      </c>
      <c r="R24" s="33">
        <v>0.5</v>
      </c>
      <c r="S24" s="34">
        <v>0.5</v>
      </c>
      <c r="T24" s="6"/>
      <c r="U24" s="39">
        <f t="shared" si="4"/>
        <v>0</v>
      </c>
      <c r="V24" s="37" t="str">
        <f t="shared" si="5"/>
        <v>0.00</v>
      </c>
      <c r="W24" s="18"/>
      <c r="X24" s="27"/>
      <c r="Y24" s="7">
        <v>20</v>
      </c>
      <c r="Z24" s="33">
        <v>0.20833333333333334</v>
      </c>
      <c r="AA24" s="34">
        <v>0.44444444444444442</v>
      </c>
      <c r="AB24" s="6"/>
      <c r="AC24" s="39">
        <f t="shared" si="21"/>
        <v>0.23611111111111108</v>
      </c>
      <c r="AD24" s="37" t="str">
        <f t="shared" si="7"/>
        <v>5.40</v>
      </c>
      <c r="AE24" s="18"/>
      <c r="AF24" s="19"/>
      <c r="AG24" s="7">
        <v>20</v>
      </c>
      <c r="AH24" s="33">
        <v>0.20833333333333334</v>
      </c>
      <c r="AI24" s="34">
        <v>0.44444444444444442</v>
      </c>
      <c r="AJ24" s="6"/>
      <c r="AK24" s="39">
        <f t="shared" si="22"/>
        <v>0.23611111111111108</v>
      </c>
      <c r="AL24" s="37" t="str">
        <f t="shared" si="9"/>
        <v>5.40</v>
      </c>
      <c r="AM24" s="18"/>
      <c r="AN24" s="19"/>
      <c r="AO24" s="7">
        <v>20</v>
      </c>
      <c r="AP24" s="33">
        <v>0.20833333333333334</v>
      </c>
      <c r="AQ24" s="34">
        <v>0.44444444444444442</v>
      </c>
      <c r="AR24" s="6"/>
      <c r="AS24" s="39">
        <f t="shared" si="23"/>
        <v>0.23611111111111108</v>
      </c>
      <c r="AT24" s="37" t="str">
        <f t="shared" si="11"/>
        <v>5.40</v>
      </c>
      <c r="AU24" s="18"/>
      <c r="AV24" s="21"/>
      <c r="AW24" s="5">
        <v>20</v>
      </c>
      <c r="AX24" s="41">
        <v>0.20138888888888887</v>
      </c>
      <c r="AY24" s="41">
        <v>0.4513888888888889</v>
      </c>
      <c r="AZ24" s="6"/>
      <c r="BA24" s="39">
        <f t="shared" si="12"/>
        <v>0.25</v>
      </c>
      <c r="BB24" s="37" t="str">
        <f t="shared" si="13"/>
        <v>6.00</v>
      </c>
      <c r="BC24" s="18"/>
      <c r="BD24" s="19"/>
      <c r="BE24" s="10">
        <v>20</v>
      </c>
      <c r="BF24" s="33">
        <v>0.5</v>
      </c>
      <c r="BG24" s="33">
        <v>0.5</v>
      </c>
      <c r="BH24" s="3"/>
      <c r="BI24" s="57">
        <f t="shared" si="14"/>
        <v>0</v>
      </c>
      <c r="BJ24" s="58" t="str">
        <f t="shared" si="15"/>
        <v>0.00</v>
      </c>
      <c r="BK24" s="18"/>
      <c r="BL24" s="19"/>
      <c r="BM24" s="5">
        <v>20</v>
      </c>
      <c r="BN24" s="33">
        <v>0.5</v>
      </c>
      <c r="BO24" s="33">
        <v>0.5</v>
      </c>
      <c r="BP24" s="2"/>
      <c r="BQ24" s="42">
        <f t="shared" si="16"/>
        <v>0</v>
      </c>
      <c r="BR24" s="43" t="str">
        <f t="shared" si="17"/>
        <v>0.00</v>
      </c>
      <c r="BS24" s="18"/>
      <c r="BT24" s="19"/>
      <c r="BU24" s="5">
        <v>20</v>
      </c>
      <c r="BV24" s="33">
        <v>0.5</v>
      </c>
      <c r="BW24" s="33">
        <v>0.5</v>
      </c>
      <c r="BX24" s="2"/>
      <c r="BY24" s="42">
        <f t="shared" si="18"/>
        <v>0</v>
      </c>
      <c r="BZ24" s="43" t="str">
        <f t="shared" si="19"/>
        <v>0.00</v>
      </c>
      <c r="CA24" s="18"/>
    </row>
    <row r="25" spans="1:79" x14ac:dyDescent="0.3">
      <c r="A25" s="7">
        <v>21</v>
      </c>
      <c r="B25" s="33">
        <v>0.42986111111111108</v>
      </c>
      <c r="C25" s="33">
        <v>0.93125000000000002</v>
      </c>
      <c r="D25" s="6"/>
      <c r="E25" s="39">
        <f t="shared" si="0"/>
        <v>0.50138888888888888</v>
      </c>
      <c r="F25" s="37" t="str">
        <f t="shared" si="1"/>
        <v>12.02</v>
      </c>
      <c r="G25" s="18"/>
      <c r="H25" s="19"/>
      <c r="I25" s="10">
        <v>21</v>
      </c>
      <c r="J25" s="56">
        <v>0.5</v>
      </c>
      <c r="K25" s="56">
        <v>0.5</v>
      </c>
      <c r="L25" s="3"/>
      <c r="M25" s="57">
        <f t="shared" si="24"/>
        <v>0</v>
      </c>
      <c r="N25" s="58" t="str">
        <f t="shared" si="3"/>
        <v>0.00</v>
      </c>
      <c r="O25" s="20"/>
      <c r="P25" s="19"/>
      <c r="Q25" s="7">
        <v>21</v>
      </c>
      <c r="R25" s="33">
        <v>0.5</v>
      </c>
      <c r="S25" s="33">
        <v>0.5</v>
      </c>
      <c r="T25" s="6"/>
      <c r="U25" s="39">
        <f t="shared" si="4"/>
        <v>0</v>
      </c>
      <c r="V25" s="37" t="str">
        <f t="shared" si="5"/>
        <v>0.00</v>
      </c>
      <c r="W25" s="18"/>
      <c r="X25" s="27"/>
      <c r="Y25" s="7">
        <v>21</v>
      </c>
      <c r="Z25" s="33">
        <v>0.20833333333333334</v>
      </c>
      <c r="AA25" s="33">
        <v>0.44791666666666669</v>
      </c>
      <c r="AB25" s="6"/>
      <c r="AC25" s="39">
        <f t="shared" si="21"/>
        <v>0.23958333333333334</v>
      </c>
      <c r="AD25" s="37" t="str">
        <f t="shared" si="7"/>
        <v>5.45</v>
      </c>
      <c r="AE25" s="18"/>
      <c r="AF25" s="19"/>
      <c r="AG25" s="7">
        <v>21</v>
      </c>
      <c r="AH25" s="33">
        <v>0.20833333333333334</v>
      </c>
      <c r="AI25" s="33">
        <v>0.42708333333333331</v>
      </c>
      <c r="AJ25" s="6"/>
      <c r="AK25" s="39">
        <f t="shared" si="22"/>
        <v>0.21874999999999997</v>
      </c>
      <c r="AL25" s="37" t="str">
        <f t="shared" si="9"/>
        <v>5.15</v>
      </c>
      <c r="AM25" s="18"/>
      <c r="AN25" s="19"/>
      <c r="AO25" s="7">
        <v>21</v>
      </c>
      <c r="AP25" s="33">
        <v>0.20833333333333334</v>
      </c>
      <c r="AQ25" s="33">
        <v>0.44791666666666669</v>
      </c>
      <c r="AR25" s="6"/>
      <c r="AS25" s="39">
        <f t="shared" si="23"/>
        <v>0.23958333333333334</v>
      </c>
      <c r="AT25" s="37" t="str">
        <f t="shared" si="11"/>
        <v>5.45</v>
      </c>
      <c r="AU25" s="18"/>
      <c r="AV25" s="21"/>
      <c r="AW25" s="5">
        <v>21</v>
      </c>
      <c r="AX25" s="41">
        <v>0.26041666666666669</v>
      </c>
      <c r="AY25" s="41">
        <v>0.48958333333333331</v>
      </c>
      <c r="AZ25" s="6"/>
      <c r="BA25" s="39">
        <f t="shared" si="12"/>
        <v>0.22916666666666663</v>
      </c>
      <c r="BB25" s="37" t="str">
        <f t="shared" si="13"/>
        <v>5.30</v>
      </c>
      <c r="BC25" s="18"/>
      <c r="BD25" s="19"/>
      <c r="BE25" s="10">
        <v>21</v>
      </c>
      <c r="BF25" s="33">
        <v>0.5</v>
      </c>
      <c r="BG25" s="33">
        <v>0.5</v>
      </c>
      <c r="BH25" s="3"/>
      <c r="BI25" s="57">
        <f t="shared" si="14"/>
        <v>0</v>
      </c>
      <c r="BJ25" s="58" t="str">
        <f t="shared" si="15"/>
        <v>0.00</v>
      </c>
      <c r="BK25" s="18"/>
      <c r="BL25" s="19"/>
      <c r="BM25" s="7">
        <v>21</v>
      </c>
      <c r="BN25" s="33">
        <v>0.5</v>
      </c>
      <c r="BO25" s="33">
        <v>0.5</v>
      </c>
      <c r="BP25" s="6"/>
      <c r="BQ25" s="39">
        <f t="shared" si="16"/>
        <v>0</v>
      </c>
      <c r="BR25" s="37" t="str">
        <f t="shared" si="17"/>
        <v>0.00</v>
      </c>
      <c r="BS25" s="18"/>
      <c r="BT25" s="19"/>
      <c r="BU25" s="7">
        <v>21</v>
      </c>
      <c r="BV25" s="33">
        <v>0.5</v>
      </c>
      <c r="BW25" s="33">
        <v>0.5</v>
      </c>
      <c r="BX25" s="6"/>
      <c r="BY25" s="39">
        <f t="shared" si="18"/>
        <v>0</v>
      </c>
      <c r="BZ25" s="37" t="str">
        <f t="shared" si="19"/>
        <v>0.00</v>
      </c>
      <c r="CA25" s="18"/>
    </row>
    <row r="26" spans="1:79" x14ac:dyDescent="0.3">
      <c r="A26" s="7">
        <v>22</v>
      </c>
      <c r="B26" s="33">
        <v>0.4284722222222222</v>
      </c>
      <c r="C26" s="33">
        <v>0.93055555555555547</v>
      </c>
      <c r="D26" s="6"/>
      <c r="E26" s="39">
        <f>C26-B26</f>
        <v>0.50208333333333321</v>
      </c>
      <c r="F26" s="37" t="str">
        <f t="shared" si="1"/>
        <v>12.03</v>
      </c>
      <c r="G26" s="18"/>
      <c r="H26" s="19"/>
      <c r="I26" s="10">
        <v>22</v>
      </c>
      <c r="J26" s="56">
        <v>0.25</v>
      </c>
      <c r="K26" s="56">
        <v>0.44444444444444442</v>
      </c>
      <c r="L26" s="3"/>
      <c r="M26" s="57">
        <f>K26-J26</f>
        <v>0.19444444444444442</v>
      </c>
      <c r="N26" s="58" t="str">
        <f t="shared" si="3"/>
        <v>4.40</v>
      </c>
      <c r="O26" s="20"/>
      <c r="P26" s="19"/>
      <c r="Q26" s="7">
        <v>22</v>
      </c>
      <c r="R26" s="33">
        <v>0.25</v>
      </c>
      <c r="S26" s="33">
        <v>0.44444444444444442</v>
      </c>
      <c r="T26" s="6"/>
      <c r="U26" s="39">
        <f t="shared" si="4"/>
        <v>0.19444444444444442</v>
      </c>
      <c r="V26" s="37" t="str">
        <f t="shared" si="5"/>
        <v>4.40</v>
      </c>
      <c r="W26" s="18"/>
      <c r="X26" s="27"/>
      <c r="Y26" s="7">
        <v>22</v>
      </c>
      <c r="Z26" s="33">
        <v>0.20833333333333334</v>
      </c>
      <c r="AA26" s="33">
        <v>0.44444444444444442</v>
      </c>
      <c r="AB26" s="6"/>
      <c r="AC26" s="39">
        <f t="shared" si="21"/>
        <v>0.23611111111111108</v>
      </c>
      <c r="AD26" s="37" t="str">
        <f t="shared" si="7"/>
        <v>5.40</v>
      </c>
      <c r="AE26" s="18"/>
      <c r="AF26" s="19"/>
      <c r="AG26" s="7">
        <v>22</v>
      </c>
      <c r="AH26" s="33">
        <v>0.20833333333333334</v>
      </c>
      <c r="AI26" s="33">
        <v>0.44444444444444442</v>
      </c>
      <c r="AJ26" s="6"/>
      <c r="AK26" s="39">
        <f t="shared" si="22"/>
        <v>0.23611111111111108</v>
      </c>
      <c r="AL26" s="37" t="str">
        <f t="shared" si="9"/>
        <v>5.40</v>
      </c>
      <c r="AM26" s="18"/>
      <c r="AN26" s="19"/>
      <c r="AO26" s="7">
        <v>22</v>
      </c>
      <c r="AP26" s="33">
        <v>0.20833333333333334</v>
      </c>
      <c r="AQ26" s="33">
        <v>0.44444444444444442</v>
      </c>
      <c r="AR26" s="6"/>
      <c r="AS26" s="39">
        <f t="shared" si="23"/>
        <v>0.23611111111111108</v>
      </c>
      <c r="AT26" s="37" t="str">
        <f t="shared" si="11"/>
        <v>5.40</v>
      </c>
      <c r="AU26" s="18"/>
      <c r="AV26" s="21"/>
      <c r="AW26" s="5">
        <v>22</v>
      </c>
      <c r="AX26" s="41">
        <v>0.45833333333333331</v>
      </c>
      <c r="AY26" s="41">
        <v>0.95138888888888884</v>
      </c>
      <c r="AZ26" s="6"/>
      <c r="BA26" s="39">
        <f t="shared" si="12"/>
        <v>0.49305555555555552</v>
      </c>
      <c r="BB26" s="37" t="str">
        <f t="shared" si="13"/>
        <v>11.50</v>
      </c>
      <c r="BC26" s="18"/>
      <c r="BD26" s="19"/>
      <c r="BE26" s="10">
        <v>22</v>
      </c>
      <c r="BF26" s="33">
        <v>0.5</v>
      </c>
      <c r="BG26" s="33">
        <v>0.5</v>
      </c>
      <c r="BH26" s="3"/>
      <c r="BI26" s="57">
        <f t="shared" si="14"/>
        <v>0</v>
      </c>
      <c r="BJ26" s="58" t="str">
        <f t="shared" si="15"/>
        <v>0.00</v>
      </c>
      <c r="BK26" s="18"/>
      <c r="BL26" s="19"/>
      <c r="BM26" s="7">
        <v>22</v>
      </c>
      <c r="BN26" s="33">
        <v>0.5</v>
      </c>
      <c r="BO26" s="33">
        <v>0.5</v>
      </c>
      <c r="BP26" s="6"/>
      <c r="BQ26" s="39">
        <f t="shared" si="16"/>
        <v>0</v>
      </c>
      <c r="BR26" s="37" t="str">
        <f t="shared" si="17"/>
        <v>0.00</v>
      </c>
      <c r="BS26" s="18"/>
      <c r="BT26" s="19"/>
      <c r="BU26" s="7">
        <v>22</v>
      </c>
      <c r="BV26" s="33">
        <v>0.5</v>
      </c>
      <c r="BW26" s="33">
        <v>0.5</v>
      </c>
      <c r="BX26" s="6"/>
      <c r="BY26" s="39">
        <f t="shared" si="18"/>
        <v>0</v>
      </c>
      <c r="BZ26" s="37" t="str">
        <f t="shared" si="19"/>
        <v>0.00</v>
      </c>
      <c r="CA26" s="18"/>
    </row>
    <row r="27" spans="1:79" x14ac:dyDescent="0.3">
      <c r="A27" s="5">
        <v>23</v>
      </c>
      <c r="B27" s="41">
        <v>0.46111111111111108</v>
      </c>
      <c r="C27" s="41">
        <v>0.93680555555555556</v>
      </c>
      <c r="D27" s="2"/>
      <c r="E27" s="42">
        <f t="shared" si="0"/>
        <v>0.47569444444444448</v>
      </c>
      <c r="F27" s="43" t="str">
        <f t="shared" si="1"/>
        <v>11.25</v>
      </c>
      <c r="G27" s="18"/>
      <c r="H27" s="19"/>
      <c r="I27" s="10">
        <v>23</v>
      </c>
      <c r="J27" s="56">
        <v>0.23611111111111113</v>
      </c>
      <c r="K27" s="56">
        <v>0.45833333333333331</v>
      </c>
      <c r="L27" s="3"/>
      <c r="M27" s="57">
        <f t="shared" ref="M27:M33" si="25">K27-J27</f>
        <v>0.22222222222222218</v>
      </c>
      <c r="N27" s="58" t="str">
        <f t="shared" si="3"/>
        <v>5.20</v>
      </c>
      <c r="O27" s="20"/>
      <c r="P27" s="19"/>
      <c r="Q27" s="7">
        <v>23</v>
      </c>
      <c r="R27" s="33">
        <v>0.23611111111111113</v>
      </c>
      <c r="S27" s="33">
        <v>0.45833333333333331</v>
      </c>
      <c r="T27" s="6"/>
      <c r="U27" s="39">
        <f t="shared" si="4"/>
        <v>0.22222222222222218</v>
      </c>
      <c r="V27" s="37" t="str">
        <f t="shared" si="5"/>
        <v>5.20</v>
      </c>
      <c r="W27" s="18"/>
      <c r="X27" s="27"/>
      <c r="Y27" s="7">
        <v>23</v>
      </c>
      <c r="Z27" s="33">
        <v>0.20833333333333334</v>
      </c>
      <c r="AA27" s="33">
        <v>0.45833333333333331</v>
      </c>
      <c r="AB27" s="6"/>
      <c r="AC27" s="39">
        <f t="shared" si="21"/>
        <v>0.24999999999999997</v>
      </c>
      <c r="AD27" s="37" t="str">
        <f t="shared" si="7"/>
        <v>6.00</v>
      </c>
      <c r="AE27" s="18"/>
      <c r="AF27" s="19"/>
      <c r="AG27" s="7">
        <v>23</v>
      </c>
      <c r="AH27" s="33">
        <v>0.20833333333333334</v>
      </c>
      <c r="AI27" s="33">
        <v>0.45833333333333331</v>
      </c>
      <c r="AJ27" s="6"/>
      <c r="AK27" s="39">
        <f t="shared" si="22"/>
        <v>0.24999999999999997</v>
      </c>
      <c r="AL27" s="37" t="str">
        <f t="shared" si="9"/>
        <v>6.00</v>
      </c>
      <c r="AM27" s="18"/>
      <c r="AN27" s="19"/>
      <c r="AO27" s="7">
        <v>23</v>
      </c>
      <c r="AP27" s="33">
        <v>0.20833333333333334</v>
      </c>
      <c r="AQ27" s="33">
        <v>0.45833333333333331</v>
      </c>
      <c r="AR27" s="6"/>
      <c r="AS27" s="39">
        <f t="shared" si="23"/>
        <v>0.24999999999999997</v>
      </c>
      <c r="AT27" s="37" t="str">
        <f t="shared" si="11"/>
        <v>6.00</v>
      </c>
      <c r="AU27" s="18"/>
      <c r="AV27" s="21"/>
      <c r="AW27" s="5">
        <v>23</v>
      </c>
      <c r="AX27" s="41">
        <v>0.45833333333333331</v>
      </c>
      <c r="AY27" s="41">
        <v>0.95833333333333337</v>
      </c>
      <c r="AZ27" s="6"/>
      <c r="BA27" s="39">
        <f t="shared" si="12"/>
        <v>0.5</v>
      </c>
      <c r="BB27" s="37" t="str">
        <f t="shared" si="13"/>
        <v>12.00</v>
      </c>
      <c r="BC27" s="18"/>
      <c r="BD27" s="19"/>
      <c r="BE27" s="5">
        <v>23</v>
      </c>
      <c r="BF27" s="33">
        <v>0.5</v>
      </c>
      <c r="BG27" s="33">
        <v>0.5</v>
      </c>
      <c r="BH27" s="2"/>
      <c r="BI27" s="42">
        <f t="shared" si="14"/>
        <v>0</v>
      </c>
      <c r="BJ27" s="43" t="str">
        <f t="shared" si="15"/>
        <v>0.00</v>
      </c>
      <c r="BK27" s="18"/>
      <c r="BL27" s="19"/>
      <c r="BM27" s="7">
        <v>23</v>
      </c>
      <c r="BN27" s="33">
        <v>0.5</v>
      </c>
      <c r="BO27" s="33">
        <v>0.5</v>
      </c>
      <c r="BP27" s="6"/>
      <c r="BQ27" s="39">
        <f t="shared" si="16"/>
        <v>0</v>
      </c>
      <c r="BR27" s="37" t="str">
        <f t="shared" si="17"/>
        <v>0.00</v>
      </c>
      <c r="BS27" s="18"/>
      <c r="BT27" s="19"/>
      <c r="BU27" s="7">
        <v>23</v>
      </c>
      <c r="BV27" s="33">
        <v>0.5</v>
      </c>
      <c r="BW27" s="33">
        <v>0.5</v>
      </c>
      <c r="BX27" s="6"/>
      <c r="BY27" s="39">
        <f t="shared" si="18"/>
        <v>0</v>
      </c>
      <c r="BZ27" s="37" t="str">
        <f t="shared" si="19"/>
        <v>0.00</v>
      </c>
      <c r="CA27" s="18"/>
    </row>
    <row r="28" spans="1:79" x14ac:dyDescent="0.3">
      <c r="A28" s="5">
        <v>24</v>
      </c>
      <c r="B28" s="41">
        <v>0.42708333333333331</v>
      </c>
      <c r="C28" s="41">
        <v>0.94374999999999998</v>
      </c>
      <c r="D28" s="2"/>
      <c r="E28" s="42">
        <f t="shared" si="0"/>
        <v>0.51666666666666661</v>
      </c>
      <c r="F28" s="43" t="str">
        <f t="shared" si="1"/>
        <v>12.24</v>
      </c>
      <c r="G28" s="18"/>
      <c r="H28" s="19"/>
      <c r="I28" s="10">
        <v>24</v>
      </c>
      <c r="J28" s="56">
        <v>0.22916666666666666</v>
      </c>
      <c r="K28" s="56">
        <v>0.46527777777777773</v>
      </c>
      <c r="L28" s="3"/>
      <c r="M28" s="57">
        <f t="shared" si="25"/>
        <v>0.23611111111111108</v>
      </c>
      <c r="N28" s="58" t="str">
        <f t="shared" si="3"/>
        <v>5.40</v>
      </c>
      <c r="O28" s="20"/>
      <c r="P28" s="19"/>
      <c r="Q28" s="7">
        <v>24</v>
      </c>
      <c r="R28" s="33">
        <v>0.22916666666666666</v>
      </c>
      <c r="S28" s="33">
        <v>0.46527777777777773</v>
      </c>
      <c r="T28" s="6"/>
      <c r="U28" s="39">
        <f t="shared" si="4"/>
        <v>0.23611111111111108</v>
      </c>
      <c r="V28" s="37" t="str">
        <f t="shared" si="5"/>
        <v>5.40</v>
      </c>
      <c r="W28" s="18"/>
      <c r="X28" s="27"/>
      <c r="Y28" s="7">
        <v>24</v>
      </c>
      <c r="Z28" s="33">
        <v>0.20833333333333334</v>
      </c>
      <c r="AA28" s="33">
        <v>0.46180555555555558</v>
      </c>
      <c r="AB28" s="6"/>
      <c r="AC28" s="39">
        <f t="shared" si="21"/>
        <v>0.25347222222222221</v>
      </c>
      <c r="AD28" s="37" t="str">
        <f t="shared" si="7"/>
        <v>6.05</v>
      </c>
      <c r="AE28" s="18"/>
      <c r="AF28" s="19"/>
      <c r="AG28" s="7">
        <v>24</v>
      </c>
      <c r="AH28" s="33">
        <v>0.20833333333333334</v>
      </c>
      <c r="AI28" s="33">
        <v>0.46180555555555558</v>
      </c>
      <c r="AJ28" s="6"/>
      <c r="AK28" s="39">
        <f t="shared" si="22"/>
        <v>0.25347222222222221</v>
      </c>
      <c r="AL28" s="37" t="str">
        <f t="shared" si="9"/>
        <v>6.05</v>
      </c>
      <c r="AM28" s="18"/>
      <c r="AN28" s="19"/>
      <c r="AO28" s="7">
        <v>24</v>
      </c>
      <c r="AP28" s="33">
        <v>0.20833333333333334</v>
      </c>
      <c r="AQ28" s="33">
        <v>0.46180555555555558</v>
      </c>
      <c r="AR28" s="6"/>
      <c r="AS28" s="39">
        <f t="shared" si="23"/>
        <v>0.25347222222222221</v>
      </c>
      <c r="AT28" s="37" t="str">
        <f t="shared" si="11"/>
        <v>6.05</v>
      </c>
      <c r="AU28" s="18"/>
      <c r="AV28" s="21"/>
      <c r="AW28" s="5">
        <v>24</v>
      </c>
      <c r="AX28" s="41">
        <v>0.20833333333333334</v>
      </c>
      <c r="AY28" s="41">
        <v>0.48055555555555557</v>
      </c>
      <c r="AZ28" s="6"/>
      <c r="BA28" s="39">
        <f t="shared" si="12"/>
        <v>0.27222222222222225</v>
      </c>
      <c r="BB28" s="37" t="str">
        <f t="shared" si="13"/>
        <v>6.32</v>
      </c>
      <c r="BC28" s="18"/>
      <c r="BD28" s="19"/>
      <c r="BE28" s="7">
        <v>24</v>
      </c>
      <c r="BF28" s="33">
        <v>0.5</v>
      </c>
      <c r="BG28" s="33">
        <v>0.5</v>
      </c>
      <c r="BH28" s="6"/>
      <c r="BI28" s="39">
        <f t="shared" si="14"/>
        <v>0</v>
      </c>
      <c r="BJ28" s="37" t="str">
        <f t="shared" si="15"/>
        <v>0.00</v>
      </c>
      <c r="BK28" s="18"/>
      <c r="BL28" s="19"/>
      <c r="BM28" s="7">
        <v>24</v>
      </c>
      <c r="BN28" s="33">
        <v>0.5</v>
      </c>
      <c r="BO28" s="33">
        <v>0.5</v>
      </c>
      <c r="BP28" s="6"/>
      <c r="BQ28" s="39">
        <f t="shared" si="16"/>
        <v>0</v>
      </c>
      <c r="BR28" s="37" t="str">
        <f t="shared" si="17"/>
        <v>0.00</v>
      </c>
      <c r="BS28" s="18"/>
      <c r="BT28" s="19"/>
      <c r="BU28" s="7">
        <v>24</v>
      </c>
      <c r="BV28" s="33">
        <v>0.5</v>
      </c>
      <c r="BW28" s="33">
        <v>0.5</v>
      </c>
      <c r="BX28" s="6"/>
      <c r="BY28" s="39">
        <f t="shared" si="18"/>
        <v>0</v>
      </c>
      <c r="BZ28" s="37" t="str">
        <f t="shared" si="19"/>
        <v>0.00</v>
      </c>
      <c r="CA28" s="18"/>
    </row>
    <row r="29" spans="1:79" x14ac:dyDescent="0.3">
      <c r="A29" s="5">
        <v>25</v>
      </c>
      <c r="B29" s="41">
        <v>0.42986111111111108</v>
      </c>
      <c r="C29" s="41">
        <v>0.95138888888888884</v>
      </c>
      <c r="D29" s="2"/>
      <c r="E29" s="42">
        <f t="shared" si="0"/>
        <v>0.52152777777777781</v>
      </c>
      <c r="F29" s="43" t="str">
        <f>TEXT(E29,"H.MM")</f>
        <v>12.31</v>
      </c>
      <c r="G29" s="18"/>
      <c r="H29" s="19"/>
      <c r="I29" s="5">
        <v>25</v>
      </c>
      <c r="J29" s="41">
        <v>0.5</v>
      </c>
      <c r="K29" s="41">
        <v>0.5</v>
      </c>
      <c r="L29" s="2"/>
      <c r="M29" s="42">
        <f t="shared" si="25"/>
        <v>0</v>
      </c>
      <c r="N29" s="43" t="str">
        <f>TEXT(M29,"H.MM")</f>
        <v>0.00</v>
      </c>
      <c r="O29" s="20"/>
      <c r="P29" s="19"/>
      <c r="Q29" s="7">
        <v>25</v>
      </c>
      <c r="R29" s="33">
        <v>0.5</v>
      </c>
      <c r="S29" s="33">
        <v>0.5</v>
      </c>
      <c r="T29" s="6"/>
      <c r="U29" s="39">
        <f t="shared" si="4"/>
        <v>0</v>
      </c>
      <c r="V29" s="37" t="str">
        <f t="shared" si="5"/>
        <v>0.00</v>
      </c>
      <c r="W29" s="18"/>
      <c r="X29" s="27"/>
      <c r="Y29" s="7">
        <v>25</v>
      </c>
      <c r="Z29" s="33">
        <v>0.16666666666666666</v>
      </c>
      <c r="AA29" s="33">
        <v>0.4513888888888889</v>
      </c>
      <c r="AB29" s="6"/>
      <c r="AC29" s="39">
        <f t="shared" si="21"/>
        <v>0.28472222222222221</v>
      </c>
      <c r="AD29" s="37" t="str">
        <f t="shared" si="7"/>
        <v>6.50</v>
      </c>
      <c r="AE29" s="18"/>
      <c r="AF29" s="19"/>
      <c r="AG29" s="7">
        <v>25</v>
      </c>
      <c r="AH29" s="33">
        <v>0.16666666666666666</v>
      </c>
      <c r="AI29" s="33">
        <v>0.49652777777777773</v>
      </c>
      <c r="AJ29" s="6"/>
      <c r="AK29" s="39">
        <f t="shared" si="22"/>
        <v>0.32986111111111105</v>
      </c>
      <c r="AL29" s="37" t="str">
        <f t="shared" si="9"/>
        <v>7.55</v>
      </c>
      <c r="AM29" s="18"/>
      <c r="AN29" s="19"/>
      <c r="AO29" s="7">
        <v>25</v>
      </c>
      <c r="AP29" s="33">
        <v>0.19791666666666666</v>
      </c>
      <c r="AQ29" s="33">
        <v>0.49652777777777773</v>
      </c>
      <c r="AR29" s="6"/>
      <c r="AS29" s="39">
        <f t="shared" si="23"/>
        <v>0.29861111111111105</v>
      </c>
      <c r="AT29" s="37" t="str">
        <f t="shared" si="11"/>
        <v>7.10</v>
      </c>
      <c r="AU29" s="18"/>
      <c r="AV29" s="21"/>
      <c r="AW29" s="5">
        <v>25</v>
      </c>
      <c r="AX29" s="41">
        <v>0.5</v>
      </c>
      <c r="AY29" s="41">
        <v>0.5</v>
      </c>
      <c r="AZ29" s="6"/>
      <c r="BA29" s="39">
        <f t="shared" si="12"/>
        <v>0</v>
      </c>
      <c r="BB29" s="37" t="str">
        <f t="shared" si="13"/>
        <v>0.00</v>
      </c>
      <c r="BC29" s="18"/>
      <c r="BD29" s="19"/>
      <c r="BE29" s="7">
        <v>25</v>
      </c>
      <c r="BF29" s="33">
        <v>0.5</v>
      </c>
      <c r="BG29" s="33">
        <v>0.5</v>
      </c>
      <c r="BH29" s="6"/>
      <c r="BI29" s="39">
        <f t="shared" si="14"/>
        <v>0</v>
      </c>
      <c r="BJ29" s="37" t="str">
        <f t="shared" si="15"/>
        <v>0.00</v>
      </c>
      <c r="BK29" s="18"/>
      <c r="BL29" s="19"/>
      <c r="BM29" s="7">
        <v>25</v>
      </c>
      <c r="BN29" s="33">
        <v>0.5</v>
      </c>
      <c r="BO29" s="33">
        <v>0.5</v>
      </c>
      <c r="BP29" s="6"/>
      <c r="BQ29" s="39">
        <f t="shared" si="16"/>
        <v>0</v>
      </c>
      <c r="BR29" s="37" t="str">
        <f t="shared" si="17"/>
        <v>0.00</v>
      </c>
      <c r="BS29" s="18"/>
      <c r="BT29" s="19"/>
      <c r="BU29" s="7">
        <v>25</v>
      </c>
      <c r="BV29" s="33">
        <v>0.5</v>
      </c>
      <c r="BW29" s="33">
        <v>0.5</v>
      </c>
      <c r="BX29" s="6"/>
      <c r="BY29" s="39">
        <f t="shared" si="18"/>
        <v>0</v>
      </c>
      <c r="BZ29" s="37" t="str">
        <f t="shared" si="19"/>
        <v>0.00</v>
      </c>
      <c r="CA29" s="18"/>
    </row>
    <row r="30" spans="1:79" x14ac:dyDescent="0.3">
      <c r="A30" s="5">
        <v>26</v>
      </c>
      <c r="B30" s="41">
        <v>0.42986111111111108</v>
      </c>
      <c r="C30" s="41">
        <v>0.95000000000000007</v>
      </c>
      <c r="D30" s="2"/>
      <c r="E30" s="42">
        <f t="shared" si="0"/>
        <v>0.52013888888888893</v>
      </c>
      <c r="F30" s="43" t="str">
        <f t="shared" si="1"/>
        <v>12.29</v>
      </c>
      <c r="G30" s="18"/>
      <c r="H30" s="19"/>
      <c r="I30" s="10">
        <v>26</v>
      </c>
      <c r="J30" s="56">
        <v>0.34722222222222227</v>
      </c>
      <c r="K30" s="56">
        <v>0.9375</v>
      </c>
      <c r="L30" s="3"/>
      <c r="M30" s="57">
        <f t="shared" si="25"/>
        <v>0.59027777777777768</v>
      </c>
      <c r="N30" s="58" t="str">
        <f t="shared" ref="N30:N35" si="26">TEXT(M30,"H.MM")</f>
        <v>14.10</v>
      </c>
      <c r="O30" s="20"/>
      <c r="P30" s="19"/>
      <c r="Q30" s="7">
        <v>26</v>
      </c>
      <c r="R30" s="33">
        <v>0.34722222222222227</v>
      </c>
      <c r="S30" s="33">
        <v>0.61458333333333337</v>
      </c>
      <c r="T30" s="6"/>
      <c r="U30" s="39">
        <f t="shared" si="4"/>
        <v>0.2673611111111111</v>
      </c>
      <c r="V30" s="37" t="str">
        <f t="shared" si="5"/>
        <v>6.25</v>
      </c>
      <c r="W30" s="18"/>
      <c r="X30" s="27"/>
      <c r="Y30" s="7">
        <v>26</v>
      </c>
      <c r="Z30" s="33">
        <v>0.20833333333333334</v>
      </c>
      <c r="AA30" s="33">
        <v>0.4375</v>
      </c>
      <c r="AB30" s="6"/>
      <c r="AC30" s="39">
        <f t="shared" si="21"/>
        <v>0.22916666666666666</v>
      </c>
      <c r="AD30" s="37" t="str">
        <f t="shared" si="7"/>
        <v>5.30</v>
      </c>
      <c r="AE30" s="18"/>
      <c r="AF30" s="19"/>
      <c r="AG30" s="7">
        <v>26</v>
      </c>
      <c r="AH30" s="33">
        <v>0.125</v>
      </c>
      <c r="AI30" s="33">
        <v>0.4375</v>
      </c>
      <c r="AJ30" s="6"/>
      <c r="AK30" s="39">
        <f t="shared" si="22"/>
        <v>0.3125</v>
      </c>
      <c r="AL30" s="37" t="str">
        <f t="shared" si="9"/>
        <v>7.30</v>
      </c>
      <c r="AM30" s="18"/>
      <c r="AN30" s="19"/>
      <c r="AO30" s="7">
        <v>26</v>
      </c>
      <c r="AP30" s="33">
        <v>0.125</v>
      </c>
      <c r="AQ30" s="33">
        <v>0.4375</v>
      </c>
      <c r="AR30" s="6"/>
      <c r="AS30" s="39">
        <f t="shared" si="23"/>
        <v>0.3125</v>
      </c>
      <c r="AT30" s="37" t="str">
        <f t="shared" si="11"/>
        <v>7.30</v>
      </c>
      <c r="AU30" s="18"/>
      <c r="AV30" s="21"/>
      <c r="AW30" s="5">
        <v>26</v>
      </c>
      <c r="AX30" s="41">
        <v>0.375</v>
      </c>
      <c r="AY30" s="41">
        <v>0.9375</v>
      </c>
      <c r="AZ30" s="6"/>
      <c r="BA30" s="39">
        <f t="shared" si="12"/>
        <v>0.5625</v>
      </c>
      <c r="BB30" s="37" t="str">
        <f t="shared" si="13"/>
        <v>13.30</v>
      </c>
      <c r="BC30" s="18"/>
      <c r="BD30" s="19"/>
      <c r="BE30" s="7">
        <v>26</v>
      </c>
      <c r="BF30" s="33">
        <v>0.5</v>
      </c>
      <c r="BG30" s="33">
        <v>0.5</v>
      </c>
      <c r="BH30" s="6"/>
      <c r="BI30" s="39">
        <f t="shared" si="14"/>
        <v>0</v>
      </c>
      <c r="BJ30" s="37" t="str">
        <f t="shared" si="15"/>
        <v>0.00</v>
      </c>
      <c r="BK30" s="18"/>
      <c r="BL30" s="19"/>
      <c r="BM30" s="7">
        <v>26</v>
      </c>
      <c r="BN30" s="33">
        <v>0.5</v>
      </c>
      <c r="BO30" s="33">
        <v>0.5</v>
      </c>
      <c r="BP30" s="6"/>
      <c r="BQ30" s="39">
        <f t="shared" si="16"/>
        <v>0</v>
      </c>
      <c r="BR30" s="37" t="str">
        <f t="shared" si="17"/>
        <v>0.00</v>
      </c>
      <c r="BS30" s="18"/>
      <c r="BT30" s="19"/>
      <c r="BU30" s="7">
        <v>26</v>
      </c>
      <c r="BV30" s="33">
        <v>0.5</v>
      </c>
      <c r="BW30" s="33">
        <v>0.5</v>
      </c>
      <c r="BX30" s="6"/>
      <c r="BY30" s="39">
        <f t="shared" si="18"/>
        <v>0</v>
      </c>
      <c r="BZ30" s="37" t="str">
        <f t="shared" si="19"/>
        <v>0.00</v>
      </c>
      <c r="CA30" s="18"/>
    </row>
    <row r="31" spans="1:79" x14ac:dyDescent="0.3">
      <c r="A31" s="5">
        <v>27</v>
      </c>
      <c r="B31" s="41">
        <v>0.5</v>
      </c>
      <c r="C31" s="41">
        <v>0.5</v>
      </c>
      <c r="D31" s="2"/>
      <c r="E31" s="42">
        <f t="shared" si="0"/>
        <v>0</v>
      </c>
      <c r="F31" s="43" t="str">
        <f t="shared" si="1"/>
        <v>0.00</v>
      </c>
      <c r="G31" s="18"/>
      <c r="H31" s="19"/>
      <c r="I31" s="10">
        <v>27</v>
      </c>
      <c r="J31" s="56">
        <v>0.22916666666666666</v>
      </c>
      <c r="K31" s="56">
        <v>0.44791666666666669</v>
      </c>
      <c r="L31" s="3"/>
      <c r="M31" s="57">
        <f t="shared" si="25"/>
        <v>0.21875000000000003</v>
      </c>
      <c r="N31" s="58" t="str">
        <f t="shared" si="26"/>
        <v>5.15</v>
      </c>
      <c r="O31" s="20"/>
      <c r="P31" s="19"/>
      <c r="Q31" s="5">
        <v>27</v>
      </c>
      <c r="R31" s="41">
        <v>0.22916666666666666</v>
      </c>
      <c r="S31" s="41">
        <v>0.44791666666666669</v>
      </c>
      <c r="T31" s="2"/>
      <c r="U31" s="42">
        <f t="shared" si="4"/>
        <v>0.21875000000000003</v>
      </c>
      <c r="V31" s="43" t="str">
        <f t="shared" si="5"/>
        <v>5.15</v>
      </c>
      <c r="W31" s="18"/>
      <c r="X31" s="27"/>
      <c r="Y31" s="5">
        <v>27</v>
      </c>
      <c r="Z31" s="41">
        <v>0.19791666666666666</v>
      </c>
      <c r="AA31" s="41">
        <v>0.4513888888888889</v>
      </c>
      <c r="AB31" s="2"/>
      <c r="AC31" s="42">
        <f t="shared" si="21"/>
        <v>0.25347222222222221</v>
      </c>
      <c r="AD31" s="43" t="str">
        <f t="shared" si="7"/>
        <v>6.05</v>
      </c>
      <c r="AE31" s="18"/>
      <c r="AF31" s="19"/>
      <c r="AG31" s="5">
        <v>27</v>
      </c>
      <c r="AH31" s="41">
        <v>0.20833333333333334</v>
      </c>
      <c r="AI31" s="41">
        <v>0.4375</v>
      </c>
      <c r="AJ31" s="2"/>
      <c r="AK31" s="42">
        <f t="shared" si="22"/>
        <v>0.22916666666666666</v>
      </c>
      <c r="AL31" s="43" t="str">
        <f t="shared" si="9"/>
        <v>5.30</v>
      </c>
      <c r="AM31" s="18"/>
      <c r="AN31" s="19"/>
      <c r="AO31" s="5">
        <v>27</v>
      </c>
      <c r="AP31" s="41">
        <v>0.20833333333333334</v>
      </c>
      <c r="AQ31" s="41">
        <v>0.4513888888888889</v>
      </c>
      <c r="AR31" s="2"/>
      <c r="AS31" s="42">
        <f t="shared" si="23"/>
        <v>0.24305555555555555</v>
      </c>
      <c r="AT31" s="43" t="str">
        <f t="shared" si="11"/>
        <v>5.50</v>
      </c>
      <c r="AU31" s="18"/>
      <c r="AV31" s="21"/>
      <c r="AW31" s="5">
        <v>27</v>
      </c>
      <c r="AX31" s="41">
        <v>0.20833333333333334</v>
      </c>
      <c r="AY31" s="41">
        <v>0.44791666666666669</v>
      </c>
      <c r="AZ31" s="6"/>
      <c r="BA31" s="39">
        <f t="shared" si="12"/>
        <v>0.23958333333333334</v>
      </c>
      <c r="BB31" s="37" t="str">
        <f t="shared" si="13"/>
        <v>5.45</v>
      </c>
      <c r="BC31" s="18"/>
      <c r="BD31" s="19"/>
      <c r="BE31" s="5">
        <v>27</v>
      </c>
      <c r="BF31" s="33">
        <v>0.5</v>
      </c>
      <c r="BG31" s="33">
        <v>0.5</v>
      </c>
      <c r="BH31" s="2"/>
      <c r="BI31" s="42">
        <f t="shared" si="14"/>
        <v>0</v>
      </c>
      <c r="BJ31" s="43" t="str">
        <f t="shared" si="15"/>
        <v>0.00</v>
      </c>
      <c r="BK31" s="18"/>
      <c r="BL31" s="19"/>
      <c r="BM31" s="5">
        <v>27</v>
      </c>
      <c r="BN31" s="33">
        <v>0.5</v>
      </c>
      <c r="BO31" s="41">
        <v>0.5</v>
      </c>
      <c r="BP31" s="2"/>
      <c r="BQ31" s="42">
        <f t="shared" si="16"/>
        <v>0</v>
      </c>
      <c r="BR31" s="43" t="str">
        <f t="shared" si="17"/>
        <v>0.00</v>
      </c>
      <c r="BS31" s="18"/>
      <c r="BT31" s="19"/>
      <c r="BU31" s="5">
        <v>27</v>
      </c>
      <c r="BV31" s="33">
        <v>0.5</v>
      </c>
      <c r="BW31" s="41">
        <v>0.5</v>
      </c>
      <c r="BX31" s="2"/>
      <c r="BY31" s="42">
        <f t="shared" si="18"/>
        <v>0</v>
      </c>
      <c r="BZ31" s="43" t="str">
        <f t="shared" si="19"/>
        <v>0.00</v>
      </c>
      <c r="CA31" s="18"/>
    </row>
    <row r="32" spans="1:79" x14ac:dyDescent="0.3">
      <c r="A32" s="5">
        <v>28</v>
      </c>
      <c r="B32" s="41">
        <v>0.42152777777777778</v>
      </c>
      <c r="C32" s="41">
        <v>0.9375</v>
      </c>
      <c r="D32" s="2"/>
      <c r="E32" s="42">
        <f t="shared" si="0"/>
        <v>0.51597222222222228</v>
      </c>
      <c r="F32" s="43" t="str">
        <f t="shared" si="1"/>
        <v>12.23</v>
      </c>
      <c r="G32" s="18"/>
      <c r="H32" s="19"/>
      <c r="I32" s="5">
        <v>28</v>
      </c>
      <c r="J32" s="41">
        <v>0.23611111111111113</v>
      </c>
      <c r="K32" s="41">
        <v>0.44444444444444442</v>
      </c>
      <c r="L32" s="2"/>
      <c r="M32" s="42">
        <f t="shared" si="25"/>
        <v>0.20833333333333329</v>
      </c>
      <c r="N32" s="43" t="str">
        <f t="shared" si="26"/>
        <v>5.00</v>
      </c>
      <c r="O32" s="20"/>
      <c r="P32" s="19"/>
      <c r="Q32" s="5">
        <v>28</v>
      </c>
      <c r="R32" s="41">
        <v>0.23611111111111113</v>
      </c>
      <c r="S32" s="41">
        <v>0.41666666666666669</v>
      </c>
      <c r="T32" s="2"/>
      <c r="U32" s="42">
        <f t="shared" si="4"/>
        <v>0.18055555555555555</v>
      </c>
      <c r="V32" s="43" t="str">
        <f t="shared" si="5"/>
        <v>4.20</v>
      </c>
      <c r="W32" s="18"/>
      <c r="X32" s="27"/>
      <c r="Y32" s="5">
        <v>28</v>
      </c>
      <c r="Z32" s="41">
        <v>0.20833333333333334</v>
      </c>
      <c r="AA32" s="41">
        <v>0.45833333333333331</v>
      </c>
      <c r="AB32" s="2"/>
      <c r="AC32" s="42">
        <f t="shared" si="21"/>
        <v>0.24999999999999997</v>
      </c>
      <c r="AD32" s="43" t="str">
        <f t="shared" si="7"/>
        <v>6.00</v>
      </c>
      <c r="AE32" s="18"/>
      <c r="AF32" s="19"/>
      <c r="AG32" s="5">
        <v>28</v>
      </c>
      <c r="AH32" s="41">
        <v>0.5</v>
      </c>
      <c r="AI32" s="41">
        <v>0.5</v>
      </c>
      <c r="AJ32" s="2"/>
      <c r="AK32" s="42">
        <f t="shared" si="22"/>
        <v>0</v>
      </c>
      <c r="AL32" s="43" t="str">
        <f t="shared" si="9"/>
        <v>0.00</v>
      </c>
      <c r="AM32" s="18"/>
      <c r="AN32" s="19"/>
      <c r="AO32" s="5">
        <v>28</v>
      </c>
      <c r="AP32" s="41">
        <v>0.20833333333333334</v>
      </c>
      <c r="AQ32" s="41">
        <v>0.45833333333333331</v>
      </c>
      <c r="AR32" s="2"/>
      <c r="AS32" s="42">
        <f t="shared" si="23"/>
        <v>0.24999999999999997</v>
      </c>
      <c r="AT32" s="43" t="str">
        <f t="shared" si="11"/>
        <v>6.00</v>
      </c>
      <c r="AU32" s="18"/>
      <c r="AV32" s="21"/>
      <c r="AW32" s="5">
        <v>28</v>
      </c>
      <c r="AX32" s="41">
        <v>0.21875</v>
      </c>
      <c r="AY32" s="41">
        <v>0.4513888888888889</v>
      </c>
      <c r="AZ32" s="6"/>
      <c r="BA32" s="39">
        <f t="shared" si="12"/>
        <v>0.2326388888888889</v>
      </c>
      <c r="BB32" s="37" t="str">
        <f t="shared" si="13"/>
        <v>5.35</v>
      </c>
      <c r="BC32" s="18"/>
      <c r="BD32" s="19"/>
      <c r="BE32" s="5">
        <v>28</v>
      </c>
      <c r="BF32" s="33">
        <v>0.5</v>
      </c>
      <c r="BG32" s="33">
        <v>0.5</v>
      </c>
      <c r="BH32" s="2"/>
      <c r="BI32" s="42">
        <f t="shared" si="14"/>
        <v>0</v>
      </c>
      <c r="BJ32" s="43" t="str">
        <f t="shared" si="15"/>
        <v>0.00</v>
      </c>
      <c r="BK32" s="18"/>
      <c r="BL32" s="19"/>
      <c r="BM32" s="5">
        <v>28</v>
      </c>
      <c r="BN32" s="41">
        <v>0.5</v>
      </c>
      <c r="BO32" s="41">
        <v>0.5</v>
      </c>
      <c r="BP32" s="2"/>
      <c r="BQ32" s="42">
        <f t="shared" si="16"/>
        <v>0</v>
      </c>
      <c r="BR32" s="43" t="str">
        <f t="shared" si="17"/>
        <v>0.00</v>
      </c>
      <c r="BS32" s="18"/>
      <c r="BT32" s="19"/>
      <c r="BU32" s="5">
        <v>28</v>
      </c>
      <c r="BV32" s="41">
        <v>0.5</v>
      </c>
      <c r="BW32" s="41">
        <v>0.5</v>
      </c>
      <c r="BX32" s="2"/>
      <c r="BY32" s="42">
        <f t="shared" si="18"/>
        <v>0</v>
      </c>
      <c r="BZ32" s="43" t="str">
        <f t="shared" si="19"/>
        <v>0.00</v>
      </c>
      <c r="CA32" s="18"/>
    </row>
    <row r="33" spans="1:79" x14ac:dyDescent="0.3">
      <c r="A33" s="5">
        <v>29</v>
      </c>
      <c r="B33" s="41">
        <v>0.4236111111111111</v>
      </c>
      <c r="C33" s="41">
        <v>0.94444444444444453</v>
      </c>
      <c r="D33" s="2"/>
      <c r="E33" s="42">
        <f t="shared" si="0"/>
        <v>0.52083333333333348</v>
      </c>
      <c r="F33" s="43" t="str">
        <f t="shared" si="1"/>
        <v>12.30</v>
      </c>
      <c r="G33" s="18"/>
      <c r="H33" s="19"/>
      <c r="I33" s="5">
        <v>29</v>
      </c>
      <c r="J33" s="41">
        <v>0.24305555555555555</v>
      </c>
      <c r="K33" s="41">
        <v>0.4548611111111111</v>
      </c>
      <c r="L33" s="2"/>
      <c r="M33" s="42">
        <f t="shared" si="25"/>
        <v>0.21180555555555555</v>
      </c>
      <c r="N33" s="43" t="str">
        <f t="shared" si="26"/>
        <v>5.05</v>
      </c>
      <c r="O33" s="20"/>
      <c r="P33" s="19"/>
      <c r="Q33" s="5">
        <v>29</v>
      </c>
      <c r="R33" s="41">
        <v>0.24305555555555555</v>
      </c>
      <c r="S33" s="41">
        <v>0.4513888888888889</v>
      </c>
      <c r="T33" s="2"/>
      <c r="U33" s="42">
        <f t="shared" si="4"/>
        <v>0.20833333333333334</v>
      </c>
      <c r="V33" s="43" t="str">
        <f t="shared" si="5"/>
        <v>5.00</v>
      </c>
      <c r="W33" s="18"/>
      <c r="X33" s="27"/>
      <c r="Y33" s="5">
        <v>29</v>
      </c>
      <c r="Z33" s="41">
        <v>0.20833333333333334</v>
      </c>
      <c r="AA33" s="41">
        <v>0.4513888888888889</v>
      </c>
      <c r="AB33" s="2"/>
      <c r="AC33" s="42">
        <f t="shared" si="21"/>
        <v>0.24305555555555555</v>
      </c>
      <c r="AD33" s="43" t="str">
        <f t="shared" si="7"/>
        <v>5.50</v>
      </c>
      <c r="AE33" s="18"/>
      <c r="AF33" s="19"/>
      <c r="AG33" s="5">
        <v>29</v>
      </c>
      <c r="AH33" s="41">
        <v>0.20833333333333334</v>
      </c>
      <c r="AI33" s="41">
        <v>0.4513888888888889</v>
      </c>
      <c r="AJ33" s="2"/>
      <c r="AK33" s="42">
        <f t="shared" si="22"/>
        <v>0.24305555555555555</v>
      </c>
      <c r="AL33" s="43" t="str">
        <f t="shared" si="9"/>
        <v>5.50</v>
      </c>
      <c r="AM33" s="18"/>
      <c r="AN33" s="19"/>
      <c r="AO33" s="5">
        <v>29</v>
      </c>
      <c r="AP33" s="41">
        <v>0.20833333333333334</v>
      </c>
      <c r="AQ33" s="41">
        <v>0.4513888888888889</v>
      </c>
      <c r="AR33" s="2"/>
      <c r="AS33" s="42">
        <f t="shared" si="23"/>
        <v>0.24305555555555555</v>
      </c>
      <c r="AT33" s="43" t="str">
        <f t="shared" si="11"/>
        <v>5.50</v>
      </c>
      <c r="AU33" s="18"/>
      <c r="AV33" s="21"/>
      <c r="AW33" s="5">
        <v>29</v>
      </c>
      <c r="AX33" s="41">
        <v>0.45833333333333331</v>
      </c>
      <c r="AY33" s="41">
        <v>0.95138888888888884</v>
      </c>
      <c r="AZ33" s="2"/>
      <c r="BA33" s="39">
        <f t="shared" si="12"/>
        <v>0.49305555555555552</v>
      </c>
      <c r="BB33" s="37" t="str">
        <f t="shared" si="13"/>
        <v>11.50</v>
      </c>
      <c r="BC33" s="18"/>
      <c r="BD33" s="19"/>
      <c r="BE33" s="5">
        <v>29</v>
      </c>
      <c r="BF33" s="33">
        <v>0.5</v>
      </c>
      <c r="BG33" s="33">
        <v>0.5</v>
      </c>
      <c r="BH33" s="2"/>
      <c r="BI33" s="42">
        <f t="shared" si="14"/>
        <v>0</v>
      </c>
      <c r="BJ33" s="43" t="str">
        <f t="shared" si="15"/>
        <v>0.00</v>
      </c>
      <c r="BK33" s="18"/>
      <c r="BL33" s="19"/>
      <c r="BM33" s="5">
        <v>29</v>
      </c>
      <c r="BN33" s="41">
        <v>0.5</v>
      </c>
      <c r="BO33" s="41">
        <v>0.5</v>
      </c>
      <c r="BP33" s="2"/>
      <c r="BQ33" s="42">
        <f t="shared" si="16"/>
        <v>0</v>
      </c>
      <c r="BR33" s="43" t="str">
        <f t="shared" si="17"/>
        <v>0.00</v>
      </c>
      <c r="BS33" s="18"/>
      <c r="BT33" s="19"/>
      <c r="BU33" s="5">
        <v>29</v>
      </c>
      <c r="BV33" s="41">
        <v>0.5</v>
      </c>
      <c r="BW33" s="41">
        <v>0.5</v>
      </c>
      <c r="BX33" s="2"/>
      <c r="BY33" s="42">
        <f t="shared" si="18"/>
        <v>0</v>
      </c>
      <c r="BZ33" s="43" t="str">
        <f t="shared" si="19"/>
        <v>0.00</v>
      </c>
      <c r="CA33" s="18"/>
    </row>
    <row r="34" spans="1:79" x14ac:dyDescent="0.3">
      <c r="A34" s="5">
        <v>30</v>
      </c>
      <c r="B34" s="41">
        <v>0.5</v>
      </c>
      <c r="C34" s="41">
        <v>0.5</v>
      </c>
      <c r="D34" s="2"/>
      <c r="E34" s="42">
        <f>C34-B34</f>
        <v>0</v>
      </c>
      <c r="F34" s="43" t="str">
        <f t="shared" si="1"/>
        <v>0.00</v>
      </c>
      <c r="G34" s="18"/>
      <c r="H34" s="19"/>
      <c r="I34" s="5">
        <v>30</v>
      </c>
      <c r="J34" s="41">
        <v>0.22222222222222221</v>
      </c>
      <c r="K34" s="41">
        <v>0.44791666666666669</v>
      </c>
      <c r="L34" s="2"/>
      <c r="M34" s="42">
        <f>K34-J34</f>
        <v>0.22569444444444448</v>
      </c>
      <c r="N34" s="43" t="str">
        <f t="shared" si="26"/>
        <v>5.25</v>
      </c>
      <c r="O34" s="20"/>
      <c r="P34" s="19"/>
      <c r="Q34" s="5">
        <v>30</v>
      </c>
      <c r="R34" s="41">
        <v>0.5</v>
      </c>
      <c r="S34" s="41">
        <v>0.5</v>
      </c>
      <c r="T34" s="2"/>
      <c r="U34" s="42">
        <f t="shared" si="4"/>
        <v>0</v>
      </c>
      <c r="V34" s="43" t="str">
        <f t="shared" si="5"/>
        <v>0.00</v>
      </c>
      <c r="W34" s="18"/>
      <c r="X34" s="27"/>
      <c r="Y34" s="5">
        <v>30</v>
      </c>
      <c r="Z34" s="41">
        <v>0.5</v>
      </c>
      <c r="AA34" s="41">
        <v>0.5</v>
      </c>
      <c r="AB34" s="2"/>
      <c r="AC34" s="42">
        <f t="shared" si="21"/>
        <v>0</v>
      </c>
      <c r="AD34" s="43" t="str">
        <f t="shared" si="7"/>
        <v>0.00</v>
      </c>
      <c r="AE34" s="18"/>
      <c r="AF34" s="19"/>
      <c r="AG34" s="5">
        <v>30</v>
      </c>
      <c r="AH34" s="41">
        <v>0.5</v>
      </c>
      <c r="AI34" s="41">
        <v>0.5</v>
      </c>
      <c r="AJ34" s="2"/>
      <c r="AK34" s="42">
        <f t="shared" si="22"/>
        <v>0</v>
      </c>
      <c r="AL34" s="43" t="str">
        <f t="shared" si="9"/>
        <v>0.00</v>
      </c>
      <c r="AM34" s="18"/>
      <c r="AN34" s="19"/>
      <c r="AO34" s="5">
        <v>30</v>
      </c>
      <c r="AP34" s="41">
        <v>0.5</v>
      </c>
      <c r="AQ34" s="41">
        <v>0.5</v>
      </c>
      <c r="AR34" s="2"/>
      <c r="AS34" s="42">
        <f t="shared" si="23"/>
        <v>0</v>
      </c>
      <c r="AT34" s="43" t="str">
        <f t="shared" si="11"/>
        <v>0.00</v>
      </c>
      <c r="AU34" s="18"/>
      <c r="AV34" s="21"/>
      <c r="AW34" s="5">
        <v>30</v>
      </c>
      <c r="AX34" s="41">
        <v>0.5</v>
      </c>
      <c r="AY34" s="41">
        <v>0.5</v>
      </c>
      <c r="AZ34" s="6"/>
      <c r="BA34" s="39">
        <f t="shared" si="12"/>
        <v>0</v>
      </c>
      <c r="BB34" s="37" t="str">
        <f t="shared" si="13"/>
        <v>0.00</v>
      </c>
      <c r="BC34" s="18"/>
      <c r="BD34" s="19"/>
      <c r="BE34" s="5">
        <v>30</v>
      </c>
      <c r="BF34" s="33">
        <v>0.5</v>
      </c>
      <c r="BG34" s="33">
        <v>0.5</v>
      </c>
      <c r="BH34" s="2"/>
      <c r="BI34" s="42">
        <f t="shared" si="14"/>
        <v>0</v>
      </c>
      <c r="BJ34" s="43" t="str">
        <f t="shared" si="15"/>
        <v>0.00</v>
      </c>
      <c r="BK34" s="18"/>
      <c r="BL34" s="19"/>
      <c r="BM34" s="5">
        <v>30</v>
      </c>
      <c r="BN34" s="41">
        <v>0.5</v>
      </c>
      <c r="BO34" s="41">
        <v>0.5</v>
      </c>
      <c r="BP34" s="2"/>
      <c r="BQ34" s="42">
        <f t="shared" si="16"/>
        <v>0</v>
      </c>
      <c r="BR34" s="43" t="str">
        <f t="shared" si="17"/>
        <v>0.00</v>
      </c>
      <c r="BS34" s="18"/>
      <c r="BT34" s="19"/>
      <c r="BU34" s="5">
        <v>30</v>
      </c>
      <c r="BV34" s="41">
        <v>0.5</v>
      </c>
      <c r="BW34" s="41">
        <v>0.5</v>
      </c>
      <c r="BX34" s="2"/>
      <c r="BY34" s="42">
        <f t="shared" si="18"/>
        <v>0</v>
      </c>
      <c r="BZ34" s="43" t="str">
        <f t="shared" si="19"/>
        <v>0.00</v>
      </c>
      <c r="CA34" s="18"/>
    </row>
    <row r="35" spans="1:79" x14ac:dyDescent="0.3">
      <c r="A35" s="5">
        <v>31</v>
      </c>
      <c r="B35" s="41">
        <v>0.5</v>
      </c>
      <c r="C35" s="41">
        <v>0.5</v>
      </c>
      <c r="D35" s="2"/>
      <c r="E35" s="42">
        <f t="shared" si="0"/>
        <v>0</v>
      </c>
      <c r="F35" s="43" t="str">
        <f t="shared" si="1"/>
        <v>0.00</v>
      </c>
      <c r="G35" s="18"/>
      <c r="H35" s="19"/>
      <c r="I35" s="5">
        <v>31</v>
      </c>
      <c r="J35" s="41">
        <v>0.5</v>
      </c>
      <c r="K35" s="41">
        <v>0.5</v>
      </c>
      <c r="L35" s="2"/>
      <c r="M35" s="42">
        <f t="shared" ref="M35" si="27">K35-J35</f>
        <v>0</v>
      </c>
      <c r="N35" s="43" t="str">
        <f t="shared" si="26"/>
        <v>0.00</v>
      </c>
      <c r="O35" s="20"/>
      <c r="P35" s="19"/>
      <c r="Q35" s="5">
        <v>31</v>
      </c>
      <c r="R35" s="41">
        <v>0.5</v>
      </c>
      <c r="S35" s="41">
        <v>0.5</v>
      </c>
      <c r="T35" s="2"/>
      <c r="U35" s="42">
        <f t="shared" si="4"/>
        <v>0</v>
      </c>
      <c r="V35" s="43" t="str">
        <f t="shared" si="5"/>
        <v>0.00</v>
      </c>
      <c r="W35" s="18"/>
      <c r="X35" s="27"/>
      <c r="Y35" s="5">
        <v>31</v>
      </c>
      <c r="Z35" s="41">
        <v>0.5</v>
      </c>
      <c r="AA35" s="41">
        <v>0.5</v>
      </c>
      <c r="AB35" s="2"/>
      <c r="AC35" s="42">
        <f t="shared" si="21"/>
        <v>0</v>
      </c>
      <c r="AD35" s="43" t="str">
        <f t="shared" si="7"/>
        <v>0.00</v>
      </c>
      <c r="AE35" s="18"/>
      <c r="AF35" s="19"/>
      <c r="AG35" s="5">
        <v>31</v>
      </c>
      <c r="AH35" s="41">
        <v>0.5</v>
      </c>
      <c r="AI35" s="41">
        <v>0.5</v>
      </c>
      <c r="AJ35" s="2"/>
      <c r="AK35" s="42">
        <f t="shared" si="22"/>
        <v>0</v>
      </c>
      <c r="AL35" s="43" t="str">
        <f t="shared" si="9"/>
        <v>0.00</v>
      </c>
      <c r="AM35" s="18"/>
      <c r="AN35" s="19"/>
      <c r="AO35" s="5">
        <v>31</v>
      </c>
      <c r="AP35" s="41">
        <v>0.5</v>
      </c>
      <c r="AQ35" s="41">
        <v>0.5</v>
      </c>
      <c r="AR35" s="2"/>
      <c r="AS35" s="42">
        <f t="shared" si="23"/>
        <v>0</v>
      </c>
      <c r="AT35" s="43" t="str">
        <f t="shared" si="11"/>
        <v>0.00</v>
      </c>
      <c r="AU35" s="18"/>
      <c r="AV35" s="21"/>
      <c r="AW35" s="5">
        <v>31</v>
      </c>
      <c r="AX35" s="41">
        <v>0.5</v>
      </c>
      <c r="AY35" s="41">
        <v>0.5</v>
      </c>
      <c r="AZ35" s="6"/>
      <c r="BA35" s="39">
        <f t="shared" si="12"/>
        <v>0</v>
      </c>
      <c r="BB35" s="37" t="str">
        <f t="shared" si="13"/>
        <v>0.00</v>
      </c>
      <c r="BC35" s="18"/>
      <c r="BD35" s="19"/>
      <c r="BE35" s="5">
        <v>31</v>
      </c>
      <c r="BF35" s="41">
        <v>0.5</v>
      </c>
      <c r="BG35" s="33">
        <v>0.5</v>
      </c>
      <c r="BH35" s="2"/>
      <c r="BI35" s="42">
        <f t="shared" si="14"/>
        <v>0</v>
      </c>
      <c r="BJ35" s="43" t="str">
        <f t="shared" si="15"/>
        <v>0.00</v>
      </c>
      <c r="BK35" s="18"/>
      <c r="BL35" s="19"/>
      <c r="BM35" s="5">
        <v>31</v>
      </c>
      <c r="BN35" s="41">
        <v>0.5</v>
      </c>
      <c r="BO35" s="41">
        <v>0.5</v>
      </c>
      <c r="BP35" s="2"/>
      <c r="BQ35" s="42">
        <f t="shared" si="16"/>
        <v>0</v>
      </c>
      <c r="BR35" s="43" t="str">
        <f t="shared" si="17"/>
        <v>0.00</v>
      </c>
      <c r="BS35" s="18"/>
      <c r="BT35" s="19"/>
      <c r="BU35" s="5">
        <v>31</v>
      </c>
      <c r="BV35" s="41">
        <v>0.5</v>
      </c>
      <c r="BW35" s="41">
        <v>0.5</v>
      </c>
      <c r="BX35" s="2"/>
      <c r="BY35" s="42">
        <f t="shared" si="18"/>
        <v>0</v>
      </c>
      <c r="BZ35" s="43" t="str">
        <f t="shared" si="19"/>
        <v>0.00</v>
      </c>
      <c r="CA35" s="18"/>
    </row>
    <row r="36" spans="1:79" x14ac:dyDescent="0.3">
      <c r="A36" s="29"/>
      <c r="B36" s="11"/>
      <c r="C36" s="11"/>
      <c r="D36" s="11"/>
      <c r="E36" s="40">
        <f>SUM(E5:E35)</f>
        <v>10.918750000000001</v>
      </c>
      <c r="F36" s="11" t="s">
        <v>0</v>
      </c>
      <c r="G36" s="44">
        <f>E37*35</f>
        <v>9171.0499999999993</v>
      </c>
      <c r="H36" s="19"/>
      <c r="I36" s="65"/>
      <c r="J36" s="12"/>
      <c r="K36" s="12"/>
      <c r="L36" s="12"/>
      <c r="M36" s="66">
        <f>SUM(M5:M35)</f>
        <v>5.2951388888888884</v>
      </c>
      <c r="N36" s="12" t="s">
        <v>0</v>
      </c>
      <c r="O36" s="67">
        <f>M37*35</f>
        <v>4446.75</v>
      </c>
      <c r="P36" s="19"/>
      <c r="Q36" s="29"/>
      <c r="R36" s="11"/>
      <c r="S36" s="11"/>
      <c r="T36" s="11"/>
      <c r="U36" s="40">
        <f>SUM(U5:U35)</f>
        <v>5.4923611111111112</v>
      </c>
      <c r="V36" s="11" t="s">
        <v>0</v>
      </c>
      <c r="W36" s="44">
        <f>U37*35</f>
        <v>4602.1500000000005</v>
      </c>
      <c r="X36" s="27"/>
      <c r="Y36" s="29"/>
      <c r="Z36" s="11"/>
      <c r="AA36" s="11"/>
      <c r="AB36" s="11"/>
      <c r="AC36" s="40">
        <f>SUM(AC5:AC35)</f>
        <v>6.7444444444444436</v>
      </c>
      <c r="AD36" s="11" t="s">
        <v>0</v>
      </c>
      <c r="AE36" s="44">
        <f>AC37*35</f>
        <v>5653.2000000000007</v>
      </c>
      <c r="AF36" s="19"/>
      <c r="AG36" s="29"/>
      <c r="AH36" s="11"/>
      <c r="AI36" s="11"/>
      <c r="AJ36" s="11"/>
      <c r="AK36" s="40">
        <f>SUM(AK5:AK35)</f>
        <v>6.7513888888888882</v>
      </c>
      <c r="AL36" s="11" t="s">
        <v>0</v>
      </c>
      <c r="AM36" s="44">
        <f>AK37*35</f>
        <v>5635.7000000000007</v>
      </c>
      <c r="AN36" s="19"/>
      <c r="AO36" s="29"/>
      <c r="AP36" s="11"/>
      <c r="AQ36" s="11"/>
      <c r="AR36" s="11"/>
      <c r="AS36" s="40">
        <f>SUM(AS5:AS35)</f>
        <v>7.1680555555555534</v>
      </c>
      <c r="AT36" s="11" t="s">
        <v>0</v>
      </c>
      <c r="AU36" s="44">
        <f>AS37*35</f>
        <v>6020.7000000000007</v>
      </c>
      <c r="AV36" s="21"/>
      <c r="AW36" s="29"/>
      <c r="AX36" s="11"/>
      <c r="AY36" s="11"/>
      <c r="AZ36" s="11"/>
      <c r="BA36" s="40">
        <f>SUM(BA5:BA35)</f>
        <v>8.0374999999999996</v>
      </c>
      <c r="BB36" s="11" t="s">
        <v>0</v>
      </c>
      <c r="BC36" s="44">
        <f>BA37*35</f>
        <v>6738.9</v>
      </c>
      <c r="BD36" s="19"/>
      <c r="BE36" s="29"/>
      <c r="BF36" s="11"/>
      <c r="BG36" s="11"/>
      <c r="BH36" s="11"/>
      <c r="BI36" s="40">
        <f>SUM(BI5:BI35)</f>
        <v>2.1368055555555556</v>
      </c>
      <c r="BJ36" s="11" t="s">
        <v>0</v>
      </c>
      <c r="BK36" s="44">
        <f>BI37*40</f>
        <v>2046.8000000000002</v>
      </c>
      <c r="BL36" s="19"/>
      <c r="BM36" s="29"/>
      <c r="BN36" s="11"/>
      <c r="BO36" s="11"/>
      <c r="BP36" s="11"/>
      <c r="BQ36" s="40">
        <f>SUM(BQ5:BQ35)</f>
        <v>0.73263888888888884</v>
      </c>
      <c r="BR36" s="11" t="s">
        <v>0</v>
      </c>
      <c r="BS36" s="44">
        <f>BQ37*35</f>
        <v>612.5</v>
      </c>
      <c r="BT36" s="19"/>
      <c r="BU36" s="29"/>
      <c r="BV36" s="11"/>
      <c r="BW36" s="11"/>
      <c r="BX36" s="11"/>
      <c r="BY36" s="40">
        <f>SUM(BY5:BY35)</f>
        <v>2.2131944444444449</v>
      </c>
      <c r="BZ36" s="11" t="s">
        <v>0</v>
      </c>
      <c r="CA36" s="44">
        <f>BY37*35</f>
        <v>1857.45</v>
      </c>
    </row>
    <row r="37" spans="1:79" x14ac:dyDescent="0.3">
      <c r="A37" s="29"/>
      <c r="B37" s="11"/>
      <c r="C37" s="11"/>
      <c r="D37" s="11"/>
      <c r="E37" s="11">
        <v>262.02999999999997</v>
      </c>
      <c r="F37" s="11" t="s">
        <v>1</v>
      </c>
      <c r="G37" s="44">
        <v>0</v>
      </c>
      <c r="H37" s="19"/>
      <c r="I37" s="29"/>
      <c r="J37" s="11"/>
      <c r="K37" s="11"/>
      <c r="L37" s="11"/>
      <c r="M37" s="11">
        <v>127.05</v>
      </c>
      <c r="N37" s="11" t="s">
        <v>1</v>
      </c>
      <c r="O37" s="44">
        <v>0</v>
      </c>
      <c r="P37" s="19"/>
      <c r="Q37" s="29"/>
      <c r="R37" s="11"/>
      <c r="S37" s="11"/>
      <c r="T37" s="11"/>
      <c r="U37" s="11">
        <v>131.49</v>
      </c>
      <c r="V37" s="11" t="s">
        <v>1</v>
      </c>
      <c r="W37" s="44">
        <v>0</v>
      </c>
      <c r="X37" s="27"/>
      <c r="Y37" s="29"/>
      <c r="Z37" s="11"/>
      <c r="AA37" s="11"/>
      <c r="AB37" s="11"/>
      <c r="AC37" s="11">
        <v>161.52000000000001</v>
      </c>
      <c r="AD37" s="11" t="s">
        <v>1</v>
      </c>
      <c r="AE37" s="44">
        <v>0</v>
      </c>
      <c r="AF37" s="19"/>
      <c r="AG37" s="29"/>
      <c r="AH37" s="11"/>
      <c r="AI37" s="11"/>
      <c r="AJ37" s="11"/>
      <c r="AK37" s="11">
        <v>161.02000000000001</v>
      </c>
      <c r="AL37" s="11" t="s">
        <v>1</v>
      </c>
      <c r="AM37" s="44">
        <v>0</v>
      </c>
      <c r="AN37" s="19"/>
      <c r="AO37" s="29"/>
      <c r="AP37" s="11"/>
      <c r="AQ37" s="11"/>
      <c r="AR37" s="11"/>
      <c r="AS37" s="11">
        <v>172.02</v>
      </c>
      <c r="AT37" s="11" t="s">
        <v>1</v>
      </c>
      <c r="AU37" s="44">
        <v>0</v>
      </c>
      <c r="AV37" s="21"/>
      <c r="AW37" s="29"/>
      <c r="AX37" s="11"/>
      <c r="AY37" s="11"/>
      <c r="AZ37" s="11"/>
      <c r="BA37" s="11">
        <v>192.54</v>
      </c>
      <c r="BB37" s="11" t="s">
        <v>1</v>
      </c>
      <c r="BC37" s="44">
        <v>0</v>
      </c>
      <c r="BD37" s="19"/>
      <c r="BE37" s="29"/>
      <c r="BF37" s="11"/>
      <c r="BG37" s="11"/>
      <c r="BH37" s="11"/>
      <c r="BI37" s="11">
        <v>51.17</v>
      </c>
      <c r="BJ37" s="11" t="s">
        <v>1</v>
      </c>
      <c r="BK37" s="44">
        <v>0</v>
      </c>
      <c r="BL37" s="19"/>
      <c r="BM37" s="29"/>
      <c r="BN37" s="11"/>
      <c r="BO37" s="11"/>
      <c r="BP37" s="11"/>
      <c r="BQ37" s="11">
        <v>17.5</v>
      </c>
      <c r="BR37" s="11" t="s">
        <v>1</v>
      </c>
      <c r="BS37" s="44">
        <v>0</v>
      </c>
      <c r="BT37" s="19"/>
      <c r="BU37" s="29"/>
      <c r="BV37" s="11"/>
      <c r="BW37" s="11"/>
      <c r="BX37" s="11"/>
      <c r="BY37" s="11">
        <v>53.07</v>
      </c>
      <c r="BZ37" s="11" t="s">
        <v>1</v>
      </c>
      <c r="CA37" s="44">
        <v>0</v>
      </c>
    </row>
    <row r="38" spans="1:79" x14ac:dyDescent="0.3">
      <c r="A38" s="29"/>
      <c r="B38" s="11"/>
      <c r="C38" s="11"/>
      <c r="D38" s="11"/>
      <c r="E38" s="11"/>
      <c r="F38" s="11" t="s">
        <v>4</v>
      </c>
      <c r="G38" s="44">
        <v>0</v>
      </c>
      <c r="H38" s="19"/>
      <c r="I38" s="29"/>
      <c r="J38" s="11"/>
      <c r="K38" s="11"/>
      <c r="L38" s="11"/>
      <c r="M38" s="11"/>
      <c r="N38" s="11" t="s">
        <v>4</v>
      </c>
      <c r="O38" s="44">
        <v>0</v>
      </c>
      <c r="P38" s="19"/>
      <c r="Q38" s="29"/>
      <c r="R38" s="11"/>
      <c r="S38" s="11"/>
      <c r="T38" s="11"/>
      <c r="U38" s="11"/>
      <c r="V38" s="11" t="s">
        <v>4</v>
      </c>
      <c r="W38" s="44">
        <v>0</v>
      </c>
      <c r="X38" s="27"/>
      <c r="Y38" s="29"/>
      <c r="Z38" s="11"/>
      <c r="AA38" s="11"/>
      <c r="AB38" s="11"/>
      <c r="AC38" s="11"/>
      <c r="AD38" s="11" t="s">
        <v>4</v>
      </c>
      <c r="AE38" s="44">
        <v>0</v>
      </c>
      <c r="AF38" s="19"/>
      <c r="AG38" s="29"/>
      <c r="AH38" s="11"/>
      <c r="AI38" s="11"/>
      <c r="AJ38" s="11"/>
      <c r="AK38" s="11"/>
      <c r="AL38" s="11" t="s">
        <v>4</v>
      </c>
      <c r="AM38" s="44">
        <v>0</v>
      </c>
      <c r="AN38" s="19"/>
      <c r="AO38" s="29"/>
      <c r="AP38" s="11"/>
      <c r="AQ38" s="11"/>
      <c r="AR38" s="11"/>
      <c r="AS38" s="11"/>
      <c r="AT38" s="11" t="s">
        <v>4</v>
      </c>
      <c r="AU38" s="44">
        <v>0</v>
      </c>
      <c r="AV38" s="21"/>
      <c r="AW38" s="29"/>
      <c r="AX38" s="11"/>
      <c r="AY38" s="11"/>
      <c r="AZ38" s="11"/>
      <c r="BA38" s="11"/>
      <c r="BB38" s="11" t="s">
        <v>4</v>
      </c>
      <c r="BC38" s="44">
        <v>0</v>
      </c>
      <c r="BD38" s="19"/>
      <c r="BE38" s="29"/>
      <c r="BF38" s="11"/>
      <c r="BG38" s="11"/>
      <c r="BH38" s="11"/>
      <c r="BI38" s="11"/>
      <c r="BJ38" s="11" t="s">
        <v>4</v>
      </c>
      <c r="BK38" s="44">
        <v>0</v>
      </c>
      <c r="BL38" s="19"/>
      <c r="BM38" s="29"/>
      <c r="BN38" s="11"/>
      <c r="BO38" s="11"/>
      <c r="BP38" s="11"/>
      <c r="BQ38" s="11"/>
      <c r="BR38" s="11" t="s">
        <v>4</v>
      </c>
      <c r="BS38" s="44">
        <v>0</v>
      </c>
      <c r="BT38" s="19"/>
      <c r="BU38" s="29"/>
      <c r="BV38" s="11"/>
      <c r="BW38" s="11"/>
      <c r="BX38" s="11"/>
      <c r="BY38" s="11"/>
      <c r="BZ38" s="11" t="s">
        <v>4</v>
      </c>
      <c r="CA38" s="44">
        <v>0</v>
      </c>
    </row>
    <row r="39" spans="1:79" x14ac:dyDescent="0.3">
      <c r="A39" s="29"/>
      <c r="B39" s="11"/>
      <c r="C39" s="11"/>
      <c r="D39" s="11"/>
      <c r="E39" s="11"/>
      <c r="F39" s="11" t="s">
        <v>2</v>
      </c>
      <c r="G39" s="45">
        <f>G36-G37-G38</f>
        <v>9171.0499999999993</v>
      </c>
      <c r="H39" s="30"/>
      <c r="I39" s="29"/>
      <c r="J39" s="11"/>
      <c r="K39" s="11"/>
      <c r="L39" s="11"/>
      <c r="M39" s="11"/>
      <c r="N39" s="11" t="s">
        <v>2</v>
      </c>
      <c r="O39" s="45">
        <f>O36-O37-O38</f>
        <v>4446.75</v>
      </c>
      <c r="P39" s="30"/>
      <c r="Q39" s="29"/>
      <c r="R39" s="11"/>
      <c r="S39" s="11"/>
      <c r="T39" s="11"/>
      <c r="U39" s="11"/>
      <c r="V39" s="11" t="s">
        <v>2</v>
      </c>
      <c r="W39" s="45">
        <f>W36-W37-W38</f>
        <v>4602.1500000000005</v>
      </c>
      <c r="X39" s="27"/>
      <c r="Y39" s="29"/>
      <c r="Z39" s="11"/>
      <c r="AA39" s="11"/>
      <c r="AB39" s="11"/>
      <c r="AC39" s="11"/>
      <c r="AD39" s="11" t="s">
        <v>2</v>
      </c>
      <c r="AE39" s="45">
        <f>AE36-AE37-AE38</f>
        <v>5653.2000000000007</v>
      </c>
      <c r="AF39" s="19"/>
      <c r="AG39" s="29"/>
      <c r="AH39" s="11"/>
      <c r="AI39" s="11"/>
      <c r="AJ39" s="11"/>
      <c r="AK39" s="11"/>
      <c r="AL39" s="11" t="s">
        <v>2</v>
      </c>
      <c r="AM39" s="45">
        <f>AM36-AM37-AM38</f>
        <v>5635.7000000000007</v>
      </c>
      <c r="AN39" s="19"/>
      <c r="AO39" s="29"/>
      <c r="AP39" s="11"/>
      <c r="AQ39" s="11"/>
      <c r="AR39" s="11"/>
      <c r="AS39" s="11"/>
      <c r="AT39" s="11" t="s">
        <v>2</v>
      </c>
      <c r="AU39" s="45">
        <f>AU36-AU37-AU38</f>
        <v>6020.7000000000007</v>
      </c>
      <c r="AV39" s="21"/>
      <c r="AW39" s="29"/>
      <c r="AX39" s="11"/>
      <c r="AY39" s="11"/>
      <c r="AZ39" s="11"/>
      <c r="BA39" s="11"/>
      <c r="BB39" s="11" t="s">
        <v>2</v>
      </c>
      <c r="BC39" s="45">
        <f>BC36-BC37-BC38</f>
        <v>6738.9</v>
      </c>
      <c r="BD39" s="19"/>
      <c r="BE39" s="29"/>
      <c r="BF39" s="11"/>
      <c r="BG39" s="11"/>
      <c r="BH39" s="11"/>
      <c r="BI39" s="11"/>
      <c r="BJ39" s="11" t="s">
        <v>2</v>
      </c>
      <c r="BK39" s="45">
        <f>BK36-BK37-BK38</f>
        <v>2046.8000000000002</v>
      </c>
      <c r="BL39" s="19"/>
      <c r="BM39" s="29"/>
      <c r="BN39" s="11"/>
      <c r="BO39" s="11"/>
      <c r="BP39" s="11"/>
      <c r="BQ39" s="11"/>
      <c r="BR39" s="11" t="s">
        <v>2</v>
      </c>
      <c r="BS39" s="45">
        <f>BS36-BS37-BS38</f>
        <v>612.5</v>
      </c>
      <c r="BT39" s="19"/>
      <c r="BU39" s="29"/>
      <c r="BV39" s="11"/>
      <c r="BW39" s="11"/>
      <c r="BX39" s="11"/>
      <c r="BY39" s="11"/>
      <c r="BZ39" s="11" t="s">
        <v>2</v>
      </c>
      <c r="CA39" s="45">
        <f>CA36-CA37-CA38</f>
        <v>1857.45</v>
      </c>
    </row>
    <row r="40" spans="1:79" ht="15" thickBot="1" x14ac:dyDescent="0.35">
      <c r="A40" s="14"/>
      <c r="B40" s="15"/>
      <c r="C40" s="15"/>
      <c r="D40" s="15"/>
      <c r="E40" s="15"/>
      <c r="F40" s="15"/>
      <c r="G40" s="16"/>
      <c r="H40" s="17"/>
      <c r="I40" s="14"/>
      <c r="J40" s="15"/>
      <c r="K40" s="15"/>
      <c r="L40" s="15"/>
      <c r="M40" s="15"/>
      <c r="N40" s="15"/>
      <c r="O40" s="16"/>
      <c r="P40" s="17"/>
      <c r="Q40" s="15"/>
      <c r="R40" s="15"/>
      <c r="S40" s="15"/>
      <c r="T40" s="15"/>
      <c r="U40" s="15"/>
      <c r="V40" s="15"/>
      <c r="W40" s="16"/>
      <c r="X40" s="22"/>
      <c r="Y40" s="15"/>
      <c r="Z40" s="15"/>
      <c r="AA40" s="15"/>
      <c r="AB40" s="15"/>
      <c r="AC40" s="15"/>
      <c r="AD40" s="15"/>
      <c r="AE40" s="16"/>
      <c r="AF40" s="17"/>
      <c r="AG40" s="15"/>
      <c r="AH40" s="15"/>
      <c r="AI40" s="15"/>
      <c r="AJ40" s="15"/>
      <c r="AK40" s="15"/>
      <c r="AL40" s="15"/>
      <c r="AM40" s="16"/>
      <c r="AN40" s="17"/>
      <c r="AO40" s="15"/>
      <c r="AP40" s="15"/>
      <c r="AQ40" s="15"/>
      <c r="AR40" s="15"/>
      <c r="AS40" s="15"/>
      <c r="AT40" s="15"/>
      <c r="AU40" s="16"/>
      <c r="AV40" s="17"/>
      <c r="AW40" s="15"/>
      <c r="AX40" s="15"/>
      <c r="AY40" s="15"/>
      <c r="AZ40" s="15"/>
      <c r="BA40" s="15"/>
      <c r="BB40" s="15"/>
      <c r="BC40" s="16"/>
      <c r="BD40" s="17"/>
      <c r="BE40" s="15"/>
      <c r="BF40" s="15"/>
      <c r="BG40" s="15"/>
      <c r="BH40" s="15"/>
      <c r="BI40" s="15"/>
      <c r="BJ40" s="15"/>
      <c r="BK40" s="16"/>
      <c r="BL40" s="17"/>
      <c r="BM40" s="15"/>
      <c r="BN40" s="15"/>
      <c r="BO40" s="15"/>
      <c r="BP40" s="15"/>
      <c r="BQ40" s="15"/>
      <c r="BR40" s="15"/>
      <c r="BS40" s="16"/>
      <c r="BT40" s="17"/>
      <c r="BU40" s="15"/>
      <c r="BV40" s="15"/>
      <c r="BW40" s="15"/>
      <c r="BX40" s="15"/>
      <c r="BY40" s="15"/>
      <c r="BZ40" s="15"/>
      <c r="CA40" s="16"/>
    </row>
  </sheetData>
  <mergeCells count="21">
    <mergeCell ref="BU2:BY2"/>
    <mergeCell ref="BU3:BW3"/>
    <mergeCell ref="A1:BC1"/>
    <mergeCell ref="A2:E2"/>
    <mergeCell ref="I2:M2"/>
    <mergeCell ref="Q2:U2"/>
    <mergeCell ref="Y2:AC2"/>
    <mergeCell ref="AG2:AK2"/>
    <mergeCell ref="AO2:AS2"/>
    <mergeCell ref="AW2:BA2"/>
    <mergeCell ref="BE2:BI2"/>
    <mergeCell ref="BE3:BG3"/>
    <mergeCell ref="BM2:BQ2"/>
    <mergeCell ref="BM3:BO3"/>
    <mergeCell ref="A3:C3"/>
    <mergeCell ref="I3:K3"/>
    <mergeCell ref="Q3:S3"/>
    <mergeCell ref="Y3:AA3"/>
    <mergeCell ref="AO3:AQ3"/>
    <mergeCell ref="AW3:AY3"/>
    <mergeCell ref="AG3:A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PARTIME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INFOSYS</dc:creator>
  <cp:lastModifiedBy>hp</cp:lastModifiedBy>
  <dcterms:created xsi:type="dcterms:W3CDTF">2025-05-22T06:14:33Z</dcterms:created>
  <dcterms:modified xsi:type="dcterms:W3CDTF">2026-08-31T16:35:04Z</dcterms:modified>
</cp:coreProperties>
</file>